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kc-tec\org-chart\"/>
    </mc:Choice>
  </mc:AlternateContent>
  <xr:revisionPtr revIDLastSave="0" documentId="13_ncr:1_{3EB691FD-D390-4BEE-BE7F-97F3D322969B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chart" sheetId="1" r:id="rId1"/>
    <sheet name="people" sheetId="2" r:id="rId2"/>
    <sheet name="assignment" sheetId="3" r:id="rId3"/>
    <sheet name="data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8" i="1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108" i="1"/>
  <c r="F97" i="1"/>
  <c r="F98" i="1"/>
  <c r="F99" i="1"/>
  <c r="F100" i="1"/>
  <c r="F101" i="1"/>
  <c r="F102" i="1"/>
  <c r="F103" i="1"/>
  <c r="F104" i="1"/>
  <c r="F105" i="1"/>
  <c r="F106" i="1"/>
  <c r="F107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40" i="1"/>
  <c r="F38" i="1"/>
  <c r="F39" i="1"/>
  <c r="F37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2" i="2"/>
  <c r="D16" i="1"/>
  <c r="D17" i="1"/>
  <c r="D19" i="1"/>
  <c r="D15" i="1"/>
  <c r="D20" i="1"/>
  <c r="D18" i="1"/>
  <c r="D23" i="1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03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2" i="2"/>
  <c r="D4" i="1"/>
  <c r="D3" i="1"/>
  <c r="D46" i="1"/>
  <c r="D31" i="1" l="1"/>
  <c r="D27" i="1"/>
  <c r="D30" i="1"/>
  <c r="D29" i="1"/>
  <c r="D26" i="1"/>
  <c r="D25" i="1"/>
  <c r="D22" i="1"/>
  <c r="D24" i="1"/>
  <c r="D28" i="1"/>
  <c r="D38" i="1"/>
  <c r="D12" i="1"/>
  <c r="D7" i="1"/>
  <c r="D5" i="1"/>
  <c r="D6" i="1"/>
  <c r="D8" i="1" l="1"/>
  <c r="D10" i="1"/>
  <c r="D11" i="1"/>
  <c r="D9" i="1"/>
  <c r="D61" i="1"/>
  <c r="D53" i="1"/>
  <c r="D32" i="1" l="1"/>
  <c r="D34" i="1" l="1"/>
  <c r="D35" i="1"/>
  <c r="D36" i="1"/>
  <c r="D37" i="1"/>
  <c r="D33" i="1"/>
  <c r="D39" i="1" l="1"/>
  <c r="D44" i="1" l="1"/>
  <c r="D45" i="1"/>
  <c r="D42" i="1"/>
  <c r="D43" i="1"/>
  <c r="D40" i="1"/>
  <c r="D41" i="1"/>
  <c r="D47" i="1" l="1"/>
  <c r="D49" i="1" l="1"/>
  <c r="D50" i="1"/>
  <c r="D48" i="1"/>
  <c r="D51" i="1"/>
  <c r="D52" i="1"/>
  <c r="D63" i="1" l="1"/>
  <c r="D54" i="1"/>
  <c r="D64" i="1"/>
  <c r="D55" i="1"/>
  <c r="D70" i="1"/>
  <c r="D56" i="1" l="1"/>
  <c r="D58" i="1" l="1"/>
  <c r="D59" i="1"/>
  <c r="D60" i="1"/>
  <c r="D57" i="1"/>
  <c r="D62" i="1" l="1"/>
  <c r="D74" i="1" l="1"/>
  <c r="D75" i="1"/>
  <c r="D65" i="1" l="1"/>
  <c r="D66" i="1"/>
  <c r="D67" i="1"/>
  <c r="D69" i="1"/>
  <c r="D68" i="1"/>
  <c r="D96" i="1" l="1"/>
  <c r="D97" i="1"/>
  <c r="D98" i="1"/>
  <c r="D90" i="1"/>
  <c r="D93" i="1"/>
  <c r="D95" i="1"/>
  <c r="D89" i="1"/>
  <c r="D91" i="1"/>
  <c r="D92" i="1"/>
  <c r="D94" i="1"/>
  <c r="D104" i="1" l="1"/>
  <c r="D105" i="1"/>
  <c r="D99" i="1"/>
  <c r="D100" i="1"/>
  <c r="D101" i="1"/>
  <c r="D102" i="1"/>
  <c r="D103" i="1"/>
  <c r="D106" i="1" l="1"/>
  <c r="D107" i="1"/>
  <c r="D109" i="1"/>
  <c r="D110" i="1"/>
  <c r="D111" i="1"/>
  <c r="D112" i="1"/>
  <c r="D113" i="1"/>
  <c r="D114" i="1"/>
  <c r="D115" i="1"/>
  <c r="D116" i="1"/>
  <c r="D117" i="1"/>
  <c r="D13" i="1"/>
  <c r="D118" i="1" l="1"/>
  <c r="D119" i="1"/>
  <c r="D120" i="1"/>
  <c r="D121" i="1"/>
  <c r="D122" i="1"/>
  <c r="D123" i="1"/>
  <c r="D21" i="1"/>
  <c r="D14" i="1"/>
  <c r="D125" i="1" l="1"/>
  <c r="D124" i="1"/>
  <c r="D72" i="1" l="1"/>
  <c r="D73" i="1"/>
  <c r="D71" i="1"/>
  <c r="D127" i="1" l="1"/>
  <c r="D128" i="1"/>
  <c r="D126" i="1"/>
  <c r="D129" i="1" l="1"/>
  <c r="D131" i="1" l="1"/>
  <c r="D130" i="1"/>
  <c r="D79" i="1" l="1"/>
  <c r="D80" i="1"/>
  <c r="D76" i="1"/>
  <c r="D77" i="1"/>
  <c r="D78" i="1"/>
  <c r="D85" i="1" l="1"/>
  <c r="D82" i="1"/>
  <c r="D83" i="1"/>
  <c r="D84" i="1"/>
  <c r="D81" i="1"/>
  <c r="D86" i="1"/>
  <c r="D87" i="1"/>
  <c r="D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" authorId="0" shapeId="0" xr:uid="{EA4FFF0A-A2DD-4116-A4FF-B0AC2AD9C4C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People information</t>
        </r>
      </text>
    </comment>
  </commentList>
</comments>
</file>

<file path=xl/sharedStrings.xml><?xml version="1.0" encoding="utf-8"?>
<sst xmlns="http://schemas.openxmlformats.org/spreadsheetml/2006/main" count="2783" uniqueCount="879">
  <si>
    <t>id</t>
  </si>
  <si>
    <t>name</t>
  </si>
  <si>
    <t>description</t>
  </si>
  <si>
    <t>parent_id</t>
  </si>
  <si>
    <t>staff_department</t>
  </si>
  <si>
    <t>manager_id</t>
  </si>
  <si>
    <t>DATA_Location</t>
  </si>
  <si>
    <t/>
  </si>
  <si>
    <t>N</t>
  </si>
  <si>
    <t>photo</t>
  </si>
  <si>
    <t>functionName</t>
  </si>
  <si>
    <t>field_Phone</t>
  </si>
  <si>
    <t>field_Email</t>
  </si>
  <si>
    <t>field_Homepage</t>
  </si>
  <si>
    <t>field_Country</t>
  </si>
  <si>
    <t>field_City</t>
  </si>
  <si>
    <t>field_Street</t>
  </si>
  <si>
    <t>សេង ស៊ីម</t>
  </si>
  <si>
    <t>​​​​​​​​​​​​​​​​​​​​​​​​​​​​​​​​​​​1740600213</t>
  </si>
  <si>
    <t>តាយ ណារិន</t>
  </si>
  <si>
    <t>អ៊ុំ កេងម៉េង</t>
  </si>
  <si>
    <t>ហ៊ាត់ ប៊ុនហឿង</t>
  </si>
  <si>
    <t>អ៊ុក វណ្ណថាត</t>
  </si>
  <si>
    <t>ជូ សុផានី</t>
  </si>
  <si>
    <t>ខុន គង់</t>
  </si>
  <si>
    <t>ហ៊ឹង សុខចាន់</t>
  </si>
  <si>
    <t>ឱ ភិរ៉ាណ</t>
  </si>
  <si>
    <t>ចិន ផល្លា</t>
  </si>
  <si>
    <t>យ៉ែម រុំផា</t>
  </si>
  <si>
    <t>ឡាង គីមសេង</t>
  </si>
  <si>
    <t>ហេង សីហា</t>
  </si>
  <si>
    <t>គុំ រំដោះ</t>
  </si>
  <si>
    <t>សេង សុវ៉ាត</t>
  </si>
  <si>
    <t>លី ពិសិដ្ឋ</t>
  </si>
  <si>
    <t>គីន ស្រីឡែន</t>
  </si>
  <si>
    <t>ហេង សុផានិត</t>
  </si>
  <si>
    <t>នី រមនា</t>
  </si>
  <si>
    <t>ស៊ាង ស៊ាវលី</t>
  </si>
  <si>
    <t>អ៊ាង វិបុល</t>
  </si>
  <si>
    <t>ហេង ណាលីន</t>
  </si>
  <si>
    <t>រុន វួចនា</t>
  </si>
  <si>
    <t>ម៉ុក ចាន់រ៉ុង</t>
  </si>
  <si>
    <t>ប៊ិន ឈឿន</t>
  </si>
  <si>
    <t>ឡុង សុវ៉ាង</t>
  </si>
  <si>
    <t>ជឹម ជានី</t>
  </si>
  <si>
    <t>ថូយ ម៉ុងស្រេង</t>
  </si>
  <si>
    <t>នាង វឿន</t>
  </si>
  <si>
    <t>ឡៃ ចិន្តា</t>
  </si>
  <si>
    <t>វន និមល</t>
  </si>
  <si>
    <t>គំ ម៉េងហួ</t>
  </si>
  <si>
    <t>នីម ស៊ាងឡៃ</t>
  </si>
  <si>
    <t>កែម ចាន់ធាង</t>
  </si>
  <si>
    <t>ឆន ពិសិទ្ធ</t>
  </si>
  <si>
    <t>ម៉ៅ កុសល</t>
  </si>
  <si>
    <t>ស៊ាន វាសនា</t>
  </si>
  <si>
    <t>លី ភីរិទ្ធ</t>
  </si>
  <si>
    <t>ទុំ ស៊ីសុភារ៉េត</t>
  </si>
  <si>
    <t>ភួង ច័ន្ទលាភី</t>
  </si>
  <si>
    <t>ហ៊ុល ពិសិដ្ឋ</t>
  </si>
  <si>
    <t>យ៉ុង គឹមយី</t>
  </si>
  <si>
    <t>ជា សោភ័ណ្ឌសារៈ</t>
  </si>
  <si>
    <t>ហេង សុខា</t>
  </si>
  <si>
    <t>យួក សុខឃឿន</t>
  </si>
  <si>
    <t>នី រដ្ឋា</t>
  </si>
  <si>
    <t>ឈុន មួយលី</t>
  </si>
  <si>
    <t>កែម បូរី</t>
  </si>
  <si>
    <t>ពៅ សុផល</t>
  </si>
  <si>
    <t>ហូយ ធារី</t>
  </si>
  <si>
    <t>បោង អេងឡាង</t>
  </si>
  <si>
    <t>ឈុំ លាង</t>
  </si>
  <si>
    <t>សន រិទ្ធី</t>
  </si>
  <si>
    <t>មៀច ធុយ</t>
  </si>
  <si>
    <t>ទូច ប៊ុនឈីម</t>
  </si>
  <si>
    <t>ខាត់ ស្រីឡូត</t>
  </si>
  <si>
    <t>ហេង ខេង</t>
  </si>
  <si>
    <t>ទេព បុណ្ណមី</t>
  </si>
  <si>
    <t>ង៉ែត សុទ្ធា</t>
  </si>
  <si>
    <t>ព្រំ បូរ៉ាត</t>
  </si>
  <si>
    <t>ស៊ឹម ស៊ីណាត</t>
  </si>
  <si>
    <t>ព្រហ្ម មុន្នី</t>
  </si>
  <si>
    <t>ទេព ជីវសុទ្ធា</t>
  </si>
  <si>
    <t>មិត្ត ណារ៉េត</t>
  </si>
  <si>
    <t>សេង សត្យា</t>
  </si>
  <si>
    <t>កេត ធីតា</t>
  </si>
  <si>
    <t>ជា បញ្ញា</t>
  </si>
  <si>
    <t>ឃៀង អេងស៊ីម</t>
  </si>
  <si>
    <t>ស្រ៊ុន សុភក្ត្រ</t>
  </si>
  <si>
    <t>ឃិត លីដា</t>
  </si>
  <si>
    <t>ញឹម ស៊ាងលាភ</t>
  </si>
  <si>
    <t>ឃាង ចាន់ដេត</t>
  </si>
  <si>
    <t>ផល្លា សុម៉ាលីណា</t>
  </si>
  <si>
    <t>ជឹង លីដា</t>
  </si>
  <si>
    <t>មុំ វិចិត្រា</t>
  </si>
  <si>
    <t>មឿន សុខា</t>
  </si>
  <si>
    <t>ហម ហ្គេចលាង</t>
  </si>
  <si>
    <t>តាំង ស៊ីភឿន</t>
  </si>
  <si>
    <t>ផាន់ ហាច</t>
  </si>
  <si>
    <t>ឡុង ភិរម្យ</t>
  </si>
  <si>
    <t>កន ឈុននី</t>
  </si>
  <si>
    <t>សឹងហ៊ីណារុំ</t>
  </si>
  <si>
    <t>កង ថុល</t>
  </si>
  <si>
    <t>ទិត លក្ខិណា</t>
  </si>
  <si>
    <t>គឹម សុកញ្ញា</t>
  </si>
  <si>
    <t>សួន សុម៉ារ៉ា</t>
  </si>
  <si>
    <t>ឃឹម វ៉ាន់ឌី</t>
  </si>
  <si>
    <t>កឹម សុសិទ្ធា</t>
  </si>
  <si>
    <t>ស សុវឌ្ឍនា</t>
  </si>
  <si>
    <t>ហ៊ង សុខលាភ</t>
  </si>
  <si>
    <t>សឹង ហ៊ីណារិន</t>
  </si>
  <si>
    <t>ថូ សាវុធ</t>
  </si>
  <si>
    <t>ច្រឹក ធារី</t>
  </si>
  <si>
    <t>ជា តុលា</t>
  </si>
  <si>
    <t>កាក់ រតនា</t>
  </si>
  <si>
    <t>ហេម សោភា</t>
  </si>
  <si>
    <t>ឈួន សារ៉ាន</t>
  </si>
  <si>
    <t>សុក គឹមហ៊ាង</t>
  </si>
  <si>
    <t>ប៊ុន ច័ន្ទសុគន្ធា</t>
  </si>
  <si>
    <t>លី ស្រីពៅ</t>
  </si>
  <si>
    <t>ធុយ សុភត្រ្តា</t>
  </si>
  <si>
    <t>ថេង ធីណា</t>
  </si>
  <si>
    <t>បេង ហេង</t>
  </si>
  <si>
    <t>សន សុម៉ាលី</t>
  </si>
  <si>
    <t>ឈីន បូណាវត្តី</t>
  </si>
  <si>
    <t>ណោ រ៉ា</t>
  </si>
  <si>
    <t>ម៉ន សុឃា</t>
  </si>
  <si>
    <t>ហ៊ៅ គីមណៃ</t>
  </si>
  <si>
    <t>ទន់ សុគន្ធា</t>
  </si>
  <si>
    <t>សាត សំអាត</t>
  </si>
  <si>
    <t>សេង​ ​ សុផា</t>
  </si>
  <si>
    <t>ចុង ហ្វីនី</t>
  </si>
  <si>
    <t>សួង សុគន្ធា</t>
  </si>
  <si>
    <t>ខុន ធារី</t>
  </si>
  <si>
    <t>លី វណ្ណនីដា</t>
  </si>
  <si>
    <t>មាស រ៉ាដូ</t>
  </si>
  <si>
    <t>ម៉ង់ ចាន់ស៊ាងម៉ី</t>
  </si>
  <si>
    <t>ហាក់ សុវណ្ណរ៉ា</t>
  </si>
  <si>
    <t>គង់ ណាវីន</t>
  </si>
  <si>
    <t>ម៉ៅ ស្រីណេត</t>
  </si>
  <si>
    <t>យ៉េន បញ្ញា</t>
  </si>
  <si>
    <t>សន សុខឡៃ</t>
  </si>
  <si>
    <t>យក់ ឆៃយ៉ា</t>
  </si>
  <si>
    <t>បុគ្គលិក</t>
  </si>
  <si>
    <t>សមាជិកគណៈកម្មការគ្រប់គ្រងវិទ្យាស្ថាន</t>
  </si>
  <si>
    <t>Y</t>
  </si>
  <si>
    <t>គ្រូឧទ្ទេសគណិតវិទ្យា</t>
  </si>
  <si>
    <t>គ្រូឧទ្ទេសវិទ្យាសាស្ត្រ</t>
  </si>
  <si>
    <t>គ្រូឧទ្ទេសភាសាបរទេស</t>
  </si>
  <si>
    <t>គ្រូឧទ្ទេសភាសាខ្មែរ</t>
  </si>
  <si>
    <t>គ្រូឧទ្ទេសសិក្សាសង្គម</t>
  </si>
  <si>
    <t>គ្រូឧទ្ទេសចិត្តវិទ្យាអប់រំ</t>
  </si>
  <si>
    <t>គ្រូឧទ្ទេសកីឡា</t>
  </si>
  <si>
    <t>គ្រូឧទ្ទេសបណ្ណាល័យ</t>
  </si>
  <si>
    <t>en_name</t>
  </si>
  <si>
    <t>Seng Sim</t>
  </si>
  <si>
    <t>Tay Narin</t>
  </si>
  <si>
    <t>Um Kengmeng</t>
  </si>
  <si>
    <t>Hort Bunhoeurng</t>
  </si>
  <si>
    <t>Ouk Vanthat</t>
  </si>
  <si>
    <t>Chou Sophany</t>
  </si>
  <si>
    <t>Khon Kong</t>
  </si>
  <si>
    <t>Hoeung Sokchann</t>
  </si>
  <si>
    <t>Or Phiran</t>
  </si>
  <si>
    <t>Chen Phalla</t>
  </si>
  <si>
    <t>Yem Rompha</t>
  </si>
  <si>
    <t>Lang Kimseng</t>
  </si>
  <si>
    <t>Heng Seiha</t>
  </si>
  <si>
    <t>Kum Romdoh</t>
  </si>
  <si>
    <t>Seng Sovath</t>
  </si>
  <si>
    <t>Ly Piseth</t>
  </si>
  <si>
    <t>Kin Sreylen</t>
  </si>
  <si>
    <t>Heng Sophanit</t>
  </si>
  <si>
    <t>Ny Rumnea</t>
  </si>
  <si>
    <t>Seang Seavly</t>
  </si>
  <si>
    <t>Eang Vibol</t>
  </si>
  <si>
    <t>Heng Nalin</t>
  </si>
  <si>
    <t>Run Vouchnea</t>
  </si>
  <si>
    <t>Mok Chanrong</t>
  </si>
  <si>
    <t>Bin Chhoeurn</t>
  </si>
  <si>
    <t>Long Sovang</t>
  </si>
  <si>
    <t>Chim Cheany</t>
  </si>
  <si>
    <t>Thoy Mongsreng</t>
  </si>
  <si>
    <t>Neang Voeurn</t>
  </si>
  <si>
    <t>Lay Chinda</t>
  </si>
  <si>
    <t>Vorn Nimol</t>
  </si>
  <si>
    <t>Kum Menghour</t>
  </si>
  <si>
    <t>Nim Seanglai</t>
  </si>
  <si>
    <t>Kem Channtheang</t>
  </si>
  <si>
    <t>Chhorn Pisith</t>
  </si>
  <si>
    <t>Mao Kosal</t>
  </si>
  <si>
    <t>Sean Veasna</t>
  </si>
  <si>
    <t>Ly Phyrith</t>
  </si>
  <si>
    <t>Tum Sisopheareth</t>
  </si>
  <si>
    <t>Phuong Chanleaphy</t>
  </si>
  <si>
    <t>Hull Piseth</t>
  </si>
  <si>
    <t>Yong Kimyi</t>
  </si>
  <si>
    <t>Chea Sophansarak</t>
  </si>
  <si>
    <t>Heng Sokha</t>
  </si>
  <si>
    <t>Yourk Sokhoeurn</t>
  </si>
  <si>
    <t>Ny Ratha</t>
  </si>
  <si>
    <t>Choun Mouyly</t>
  </si>
  <si>
    <t>Kem Borey</t>
  </si>
  <si>
    <t>Poeu Sophal</t>
  </si>
  <si>
    <t>Hoy Theary</t>
  </si>
  <si>
    <t>Borng Englang</t>
  </si>
  <si>
    <t>Chhom Leang</t>
  </si>
  <si>
    <t>Sorn Rithy</t>
  </si>
  <si>
    <t>Miech Thuy</t>
  </si>
  <si>
    <t>Touch Bunchhim</t>
  </si>
  <si>
    <t>Khat Sreylot</t>
  </si>
  <si>
    <t>Heng Kheng</t>
  </si>
  <si>
    <t>Tep Ponnamey</t>
  </si>
  <si>
    <t>Ngeth Sothea</t>
  </si>
  <si>
    <t>Prom Borath</t>
  </si>
  <si>
    <t>Sim Sinath</t>
  </si>
  <si>
    <t>Prum Mony</t>
  </si>
  <si>
    <t>Tep Chivaksothea</t>
  </si>
  <si>
    <t>Mith Nareth</t>
  </si>
  <si>
    <t>Seng Sathia</t>
  </si>
  <si>
    <t>Doeun Y</t>
  </si>
  <si>
    <t>Keth Thyda</t>
  </si>
  <si>
    <t>Chea Phannha</t>
  </si>
  <si>
    <t>Kheang Engsim</t>
  </si>
  <si>
    <t>Srun Sopheak</t>
  </si>
  <si>
    <t>Khit Lida</t>
  </si>
  <si>
    <t>Gnim Seangleap</t>
  </si>
  <si>
    <t>Kheang Chandeth</t>
  </si>
  <si>
    <t>Phalla Somalina</t>
  </si>
  <si>
    <t>Ching Lida</t>
  </si>
  <si>
    <t>Mom Vichettra</t>
  </si>
  <si>
    <t>Moeun Sokha</t>
  </si>
  <si>
    <t>Ham Guechleang</t>
  </si>
  <si>
    <t>Taing Siphoeurn</t>
  </si>
  <si>
    <t>Phann Hach</t>
  </si>
  <si>
    <t>Long Phirom</t>
  </si>
  <si>
    <t>Kan Chhunny</t>
  </si>
  <si>
    <t>Soeung Hynarom</t>
  </si>
  <si>
    <t>Kang Thol</t>
  </si>
  <si>
    <t>Tith Leakhena</t>
  </si>
  <si>
    <t>Kim Sokanha</t>
  </si>
  <si>
    <t>Suon Somara</t>
  </si>
  <si>
    <t>Khim Vanndy</t>
  </si>
  <si>
    <t>Kem Sosethea</t>
  </si>
  <si>
    <t>Sar Sovathana</t>
  </si>
  <si>
    <t>Horng Sokleap</t>
  </si>
  <si>
    <t>Soeung Hynarin</t>
  </si>
  <si>
    <t>Tho Savuth</t>
  </si>
  <si>
    <t>Chroek Theary</t>
  </si>
  <si>
    <t>Chea Tola</t>
  </si>
  <si>
    <t>Kak Ratana</t>
  </si>
  <si>
    <t>Hem Sorphea</t>
  </si>
  <si>
    <t>Chhuon Saran</t>
  </si>
  <si>
    <t>Sok Kimheang</t>
  </si>
  <si>
    <t>Bun Chan Sokunthea</t>
  </si>
  <si>
    <t>Ly Sreypov</t>
  </si>
  <si>
    <t>Thuy Sopheaktra</t>
  </si>
  <si>
    <t>Theng Thina</t>
  </si>
  <si>
    <t>Beng Heng</t>
  </si>
  <si>
    <t>San Somaly</t>
  </si>
  <si>
    <t>Chhin Bonavattey</t>
  </si>
  <si>
    <t>Nor Ra</t>
  </si>
  <si>
    <t>Man Sokhea</t>
  </si>
  <si>
    <t>Hov Kimnay</t>
  </si>
  <si>
    <t>Tun Sokunthea</t>
  </si>
  <si>
    <t>Sat Somat</t>
  </si>
  <si>
    <t>Seng Sopha</t>
  </si>
  <si>
    <t>Chong Finy</t>
  </si>
  <si>
    <t>Suong Sokunthea</t>
  </si>
  <si>
    <t>Khon Theary</t>
  </si>
  <si>
    <t>Ly Vannyda</t>
  </si>
  <si>
    <t>Meas Rado</t>
  </si>
  <si>
    <t>Mang Chanseangmey</t>
  </si>
  <si>
    <t>Hak Sovanra</t>
  </si>
  <si>
    <t>Kong Navin</t>
  </si>
  <si>
    <t>Mao Sreynet</t>
  </si>
  <si>
    <t>Yen Panha</t>
  </si>
  <si>
    <t>Sorn Soklai</t>
  </si>
  <si>
    <t>Yuk Chaiya</t>
  </si>
  <si>
    <t>seng.sim</t>
  </si>
  <si>
    <t>tay.narin</t>
  </si>
  <si>
    <t>um.kengmeng</t>
  </si>
  <si>
    <t>hort.bunhoeurng</t>
  </si>
  <si>
    <t>ouk.vanthat</t>
  </si>
  <si>
    <t>chou.sophany</t>
  </si>
  <si>
    <t>khon.kong</t>
  </si>
  <si>
    <t>hoeung.sokchann</t>
  </si>
  <si>
    <t>or.phiran</t>
  </si>
  <si>
    <t>chen.phalla</t>
  </si>
  <si>
    <t>yem.rompha</t>
  </si>
  <si>
    <t>lang.kimseng</t>
  </si>
  <si>
    <t>heng.seiha</t>
  </si>
  <si>
    <t>kum.romdoh</t>
  </si>
  <si>
    <t>seng.sovath</t>
  </si>
  <si>
    <t>ly.piseth</t>
  </si>
  <si>
    <t>kin.sreylen</t>
  </si>
  <si>
    <t>heng.sophanit</t>
  </si>
  <si>
    <t>ny.rumnea</t>
  </si>
  <si>
    <t>seang.seavly</t>
  </si>
  <si>
    <t>eang.vibol</t>
  </si>
  <si>
    <t>heng.nalin</t>
  </si>
  <si>
    <t>run.vouchnea</t>
  </si>
  <si>
    <t>mok.chanrong</t>
  </si>
  <si>
    <t>bin.chhoeurn</t>
  </si>
  <si>
    <t>long.sovang</t>
  </si>
  <si>
    <t>chim.cheany</t>
  </si>
  <si>
    <t>thoy.mongsreng</t>
  </si>
  <si>
    <t>neang.voeurn</t>
  </si>
  <si>
    <t>lay.chinda</t>
  </si>
  <si>
    <t>vorn.nimol</t>
  </si>
  <si>
    <t>kum.menghour</t>
  </si>
  <si>
    <t>nim.seanglai</t>
  </si>
  <si>
    <t>kem.channtheang</t>
  </si>
  <si>
    <t>chhorn.pisith</t>
  </si>
  <si>
    <t>mao.kosal</t>
  </si>
  <si>
    <t>sean.veasna</t>
  </si>
  <si>
    <t>ly.phyrith</t>
  </si>
  <si>
    <t>tum.sisopheareth</t>
  </si>
  <si>
    <t>phuong.chanleaphy</t>
  </si>
  <si>
    <t>hull.piseth</t>
  </si>
  <si>
    <t>yong.kimyi</t>
  </si>
  <si>
    <t>chea.sophansarak</t>
  </si>
  <si>
    <t>heng.sokha</t>
  </si>
  <si>
    <t>yourk.sokhoeurn</t>
  </si>
  <si>
    <t>ny.ratha</t>
  </si>
  <si>
    <t>choun.mouyly</t>
  </si>
  <si>
    <t>kem.borey</t>
  </si>
  <si>
    <t>poeu.sophal</t>
  </si>
  <si>
    <t>hoy.theary</t>
  </si>
  <si>
    <t>borng.englang</t>
  </si>
  <si>
    <t>chhom.leang</t>
  </si>
  <si>
    <t>sorn.rithy</t>
  </si>
  <si>
    <t>miech.thuy</t>
  </si>
  <si>
    <t>touch.bunchhim</t>
  </si>
  <si>
    <t>khat.sreylot</t>
  </si>
  <si>
    <t>heng.kheng</t>
  </si>
  <si>
    <t>tep.ponnamey</t>
  </si>
  <si>
    <t>ngeth.sothea</t>
  </si>
  <si>
    <t>prom.borath</t>
  </si>
  <si>
    <t>sim.sinath</t>
  </si>
  <si>
    <t>prum.mony</t>
  </si>
  <si>
    <t>tep.chivaksothea</t>
  </si>
  <si>
    <t>mith.nareth</t>
  </si>
  <si>
    <t>seng.sathia</t>
  </si>
  <si>
    <t>doeun.y</t>
  </si>
  <si>
    <t>keth.thyda</t>
  </si>
  <si>
    <t>chea.phannha</t>
  </si>
  <si>
    <t>kheang.engsim</t>
  </si>
  <si>
    <t>srun.sopheak</t>
  </si>
  <si>
    <t>khit.lida</t>
  </si>
  <si>
    <t>gnim.seangleap</t>
  </si>
  <si>
    <t>kheang.chandeth</t>
  </si>
  <si>
    <t>phalla.somalina</t>
  </si>
  <si>
    <t>ching.lida</t>
  </si>
  <si>
    <t>mom.vichettra</t>
  </si>
  <si>
    <t>moeun.sokha</t>
  </si>
  <si>
    <t>ham.guechleang</t>
  </si>
  <si>
    <t>taing.siphoeurn</t>
  </si>
  <si>
    <t>phann.hach</t>
  </si>
  <si>
    <t>long.phirom</t>
  </si>
  <si>
    <t>kan.chhunny</t>
  </si>
  <si>
    <t>soeung.hynarom</t>
  </si>
  <si>
    <t>kang.thol</t>
  </si>
  <si>
    <t>tith.leakhena</t>
  </si>
  <si>
    <t>kim.sokanha</t>
  </si>
  <si>
    <t>suon.somara</t>
  </si>
  <si>
    <t>khim.vanndy</t>
  </si>
  <si>
    <t>kem.sosethea</t>
  </si>
  <si>
    <t>sar.sovathana</t>
  </si>
  <si>
    <t>horng.sokleap</t>
  </si>
  <si>
    <t>soeung.hynarin</t>
  </si>
  <si>
    <t>tho.savuth</t>
  </si>
  <si>
    <t>chroek.theary</t>
  </si>
  <si>
    <t>chea.tola</t>
  </si>
  <si>
    <t>kak.ratana</t>
  </si>
  <si>
    <t>hem.sorphea</t>
  </si>
  <si>
    <t>chhuon.saran</t>
  </si>
  <si>
    <t>sok.kimheang</t>
  </si>
  <si>
    <t>bun.chan.sokunthea</t>
  </si>
  <si>
    <t>ly.sreypov</t>
  </si>
  <si>
    <t>thuy.sopheaktra</t>
  </si>
  <si>
    <t>theng.thina</t>
  </si>
  <si>
    <t>beng.heng</t>
  </si>
  <si>
    <t>san.somaly</t>
  </si>
  <si>
    <t>chhin.bonavattey</t>
  </si>
  <si>
    <t>nor.ra</t>
  </si>
  <si>
    <t>man.sokhea</t>
  </si>
  <si>
    <t>hov.kimnay</t>
  </si>
  <si>
    <t>tun.sokunthea</t>
  </si>
  <si>
    <t>sat.somat</t>
  </si>
  <si>
    <t>seng.sopha</t>
  </si>
  <si>
    <t>chong.finy</t>
  </si>
  <si>
    <t>suong.sokunthea</t>
  </si>
  <si>
    <t>khon.theary</t>
  </si>
  <si>
    <t>ly.vannyda</t>
  </si>
  <si>
    <t>meas.rado</t>
  </si>
  <si>
    <t>mang.chanseangmey</t>
  </si>
  <si>
    <t>hak.sovanra</t>
  </si>
  <si>
    <t>kong.navin</t>
  </si>
  <si>
    <t>mao.sreynet</t>
  </si>
  <si>
    <t>yen.panha</t>
  </si>
  <si>
    <t>sorn.soklai</t>
  </si>
  <si>
    <t>yuk.chaiya</t>
  </si>
  <si>
    <t>គ្រូឧទ្ទេសព័ត៌មានវិទ្យា</t>
  </si>
  <si>
    <t>ប្រធ.គណៈកម្មការគ្រប់គ្រងវិទ្យាស្ថាន</t>
  </si>
  <si>
    <t>អនុប្រធ.គណៈកម្មការគ្រប់គ្រងវិទ្យាស្ថាន</t>
  </si>
  <si>
    <t>ប្រធ.​ការិយាល័យរដ្ឋបាល និងធនធានមនុស្ស</t>
  </si>
  <si>
    <t>អនុប្រធ.​ការិយាល័យរដ្ឋបាល និងធនធានមនុស្ស</t>
  </si>
  <si>
    <t>ប្រធ.​ការិយាល័យផែនការ និងហិរញ្ញវត្ថុ</t>
  </si>
  <si>
    <t>អនុប្រធ.​ការិយាល័យផែនការ និងហិរញ្ញវត្ថុ</t>
  </si>
  <si>
    <t>ប្រធ.​ការិយាល័យសិក្សា និងវិក្រឹតការ</t>
  </si>
  <si>
    <t>អនុប្រធ.​ការិយាល័យសិក្សា និងវិក្រឹតការ</t>
  </si>
  <si>
    <t>ប្រធ.ការិយាល័យធានាគុណភាពផ្ទៃក្នុង</t>
  </si>
  <si>
    <t>អនុប្រធ.ការិយាល័យធានាគុណភាពផ្ទៃក្នុង</t>
  </si>
  <si>
    <t>ប្រធ.ផ្នែកគណិតវិទ្យា និងវិទ្យាសាស្ត្រ</t>
  </si>
  <si>
    <t>ប្រធ.ផ្នែកភាសា និងវិទ្យាសាស្ត្រសង្គម</t>
  </si>
  <si>
    <t>ប្រធ.ផ្នែកបច្ចេកវិទ្យាឌីជីថន ស្រាវជ្រាវ និងបណ្ណាល័យ</t>
  </si>
  <si>
    <t>អនុប្រធ.ផ្នែក - ប្រធ.​ក្រ.​បច្ចេកទេសភាសាបរទេស</t>
  </si>
  <si>
    <t>អនុប្រធ.ផ្នែក - ប្រធ.​ក្រ.​បច្ចេកទេសសិក្សាសង្គម</t>
  </si>
  <si>
    <t>អនុប្រធ.ផ្នែក - ប្រធ.​ក្រ.​បច្ចេកទេសចិត្តវិទ្យាអប់រំ</t>
  </si>
  <si>
    <t>អនុប្រធ.ផ្នែក - ប្រធ.​ក្រ.​បច្ចេកទេសកីឡា</t>
  </si>
  <si>
    <t>អនុប្រធ.ផ្នែក - ប្រធ.​ក្រ.​បច្ចេកទេសព័ត៌មានវិទ្យា</t>
  </si>
  <si>
    <t>អនុប្រធ.ផ្នែក - ប្រធ.​ក្រ.​បច្ចេកទេសស្រាវជ្រាវ</t>
  </si>
  <si>
    <t>អនុប្រធ.ផ្នែក - ប្រធ.​ក្រ.​បច្ចេកទេសគណិតវិទ្យា</t>
  </si>
  <si>
    <t>អនុប្រធ.ផ្នែក - ប្រធ.​ក្រ.​បច្ចេកទេសវិទ្យាសាស្ត្រ</t>
  </si>
  <si>
    <t>អនុប្រធ.​ក្រ.​បច្ចេកទេសគណិតវិទ្យា</t>
  </si>
  <si>
    <t>អនុប្រធ.​ក្រ.​បច្ចេកទេសវិទ្យាសាស្ត្រ</t>
  </si>
  <si>
    <t>អនុប្រធ.​ក្រ.​បច្ចេកទេសភាសាបរទេស</t>
  </si>
  <si>
    <t>អនុប្រធ.​ក្រ.​បច្ចេកទេសភាសាខ្មែរ</t>
  </si>
  <si>
    <t>អនុប្រធ.​ក្រ.​បច្ចេកទេសសិក្សាសង្គម</t>
  </si>
  <si>
    <t>អនុប្រធ.​ក្រ.​បច្ចេកទេសចិត្តវិទ្យាអប់រំ</t>
  </si>
  <si>
    <t>អនុប្រធ.​ក្រ.​បច្ចេកទេសព័ត៌មានវិទ្យា</t>
  </si>
  <si>
    <t>អនុប្រធ.​ក្រ.​បច្ចេកទេសស្រាវជ្រាវ</t>
  </si>
  <si>
    <t>អនុប្រធ.​ក្រ.​បច្ចេកទេសបណ្ណាល័យ</t>
  </si>
  <si>
    <t>អនុប្រធ.ផ្នែក - ប្រធ.​ក្រ.​បច្ចេកទេសភាសាខ្មែរ</t>
  </si>
  <si>
    <t>sex</t>
  </si>
  <si>
    <t>ប្រុស</t>
  </si>
  <si>
    <t>ស្រី</t>
  </si>
  <si>
    <t>កំពង់ចាម</t>
  </si>
  <si>
    <t>ប</t>
  </si>
  <si>
    <t>9/25/1968</t>
  </si>
  <si>
    <t>012 989 336</t>
  </si>
  <si>
    <t>ក.១.២</t>
  </si>
  <si>
    <t>ទស្សនៈវិទ្យា</t>
  </si>
  <si>
    <t>បរិញ្ញាបត្រ</t>
  </si>
  <si>
    <t>ជំនាញគ្រប់គ្រង</t>
  </si>
  <si>
    <t>បរិញ្ញាបត្រជាន់ខ្ពស់</t>
  </si>
  <si>
    <t>ថវិកាផ្ទាល់ខ្លួន</t>
  </si>
  <si>
    <t>នាយក</t>
  </si>
  <si>
    <t>016 720 128</t>
  </si>
  <si>
    <t>ក.១.៥</t>
  </si>
  <si>
    <t>គណិតវិទ្យា</t>
  </si>
  <si>
    <t>ផ្ទាល់ខ្លួន</t>
  </si>
  <si>
    <t>នាយករង</t>
  </si>
  <si>
    <t>012 218 911</t>
  </si>
  <si>
    <t>ក១.៤</t>
  </si>
  <si>
    <t>អក្សរសាស្ដ្រខ្មែរ</t>
  </si>
  <si>
    <t>គ្រប់គ្រងពាណិជ្ជកម្ម។</t>
  </si>
  <si>
    <t>ហ៊ាត៊់ ប៊ុនហឿង</t>
  </si>
  <si>
    <t>2/18/1980</t>
  </si>
  <si>
    <t>012 315 091</t>
  </si>
  <si>
    <t>ក.១.៦</t>
  </si>
  <si>
    <t>កសិកម្ម</t>
  </si>
  <si>
    <t>គ្រប់គ្រងពាណិជ្ជកម្ម</t>
  </si>
  <si>
    <t>ប្រ.ការិ.រដ្ឋបាល</t>
  </si>
  <si>
    <t>12/30/1975</t>
  </si>
  <si>
    <t>092 689 922</t>
  </si>
  <si>
    <t>ក.១.៣</t>
  </si>
  <si>
    <t>អក្សរសាស្រ្តខ្មែរ</t>
  </si>
  <si>
    <t>ប្រ.ការិ.សិក្សា</t>
  </si>
  <si>
    <t>078 829 990</t>
  </si>
  <si>
    <t>រូបវិទ្យា</t>
  </si>
  <si>
    <t>គម្រោងរបស់អង្គការ</t>
  </si>
  <si>
    <t>អនុប្រ.ការិ.សិក្សា</t>
  </si>
  <si>
    <t>ស</t>
  </si>
  <si>
    <t>076 999 3832</t>
  </si>
  <si>
    <t>ក១.៣</t>
  </si>
  <si>
    <t xml:space="preserve">វិទ្យាសាស្ត្រអប់រំ </t>
  </si>
  <si>
    <t>អនុប្រ.ការិ.រដ្ឋបាល</t>
  </si>
  <si>
    <t>012 626 057</t>
  </si>
  <si>
    <t>ខ.២.២</t>
  </si>
  <si>
    <t>ភាសាអង់គ្លេស</t>
  </si>
  <si>
    <t>ក្រោមបរិញ្ញាបត្រ</t>
  </si>
  <si>
    <t>ភាសាអង់គ្លេស សម្រាប់អាជីវកម្ម</t>
  </si>
  <si>
    <t>បណ្ណារក្ស</t>
  </si>
  <si>
    <t>096 570 4177</t>
  </si>
  <si>
    <t>ខ.២.១</t>
  </si>
  <si>
    <t>អក្សរសាស្ត្រខ្មែរ</t>
  </si>
  <si>
    <t>បុគ្គ.សិក្សា</t>
  </si>
  <si>
    <t>យ៉េម រុំផា</t>
  </si>
  <si>
    <t>012 897 651</t>
  </si>
  <si>
    <t>គ.៥</t>
  </si>
  <si>
    <t>បឋម-កម្មករ</t>
  </si>
  <si>
    <t>គ្រូបឋម</t>
  </si>
  <si>
    <t>កា ម៉ារុន</t>
  </si>
  <si>
    <t>Ka Marun</t>
  </si>
  <si>
    <t>011 479 790</t>
  </si>
  <si>
    <t>គ៥</t>
  </si>
  <si>
    <t>បឋម</t>
  </si>
  <si>
    <t>ផ្តាល់ខ្លន</t>
  </si>
  <si>
    <t>099 880 110</t>
  </si>
  <si>
    <t>គ៤</t>
  </si>
  <si>
    <t>ផ្សេងទៀត</t>
  </si>
  <si>
    <t>គ្រូបង្រៀនកម្រិតបឋមសិក្សា</t>
  </si>
  <si>
    <t>រដ្ឋ</t>
  </si>
  <si>
    <t>បេឡា</t>
  </si>
  <si>
    <t>ថោង ចាន់ថន</t>
  </si>
  <si>
    <t>Thong Chanthan</t>
  </si>
  <si>
    <t>069 781 161</t>
  </si>
  <si>
    <t>បុគ្គ.រដ្ឋបាល</t>
  </si>
  <si>
    <t>ឡាង គឹមសេង</t>
  </si>
  <si>
    <t>ភ្នាក់ងាររដ្ឋបាល</t>
  </si>
  <si>
    <t>7/15/1982</t>
  </si>
  <si>
    <t>092 402 727</t>
  </si>
  <si>
    <t>12/27/1987</t>
  </si>
  <si>
    <t>012 438 428</t>
  </si>
  <si>
    <t>ក.២.២</t>
  </si>
  <si>
    <t>គណិតវិទ្យា​</t>
  </si>
  <si>
    <t>ថវិការផ្ទាល់ខ្លួន</t>
  </si>
  <si>
    <t>017 887 400</t>
  </si>
  <si>
    <t>ក.២.៣</t>
  </si>
  <si>
    <t>CIMPA</t>
  </si>
  <si>
    <t>10/16/1983</t>
  </si>
  <si>
    <t>012 764 206</t>
  </si>
  <si>
    <t>វិទ្យាសាស្ត្រ​រូបវិទ្យា​</t>
  </si>
  <si>
    <t>ថវិកា​ផ្ទាល់​ខ្លួន​</t>
  </si>
  <si>
    <t>3/20/1993</t>
  </si>
  <si>
    <t>011 740 192</t>
  </si>
  <si>
    <t>ក.៣.៣</t>
  </si>
  <si>
    <t>4/23/1987</t>
  </si>
  <si>
    <t>017 659 547</t>
  </si>
  <si>
    <t>ក.2.3</t>
  </si>
  <si>
    <t>គីមីវិទ្យា</t>
  </si>
  <si>
    <t>012 430 024</t>
  </si>
  <si>
    <t>ជីវវិទ្យា</t>
  </si>
  <si>
    <t>011 992 233</t>
  </si>
  <si>
    <t>ផែនដីវិទ្យា</t>
  </si>
  <si>
    <t>017 650 480</t>
  </si>
  <si>
    <t>ប្រវត្តិវិទ្យា</t>
  </si>
  <si>
    <t>095 993 167</t>
  </si>
  <si>
    <t>សេដ្ឋកិច្ច ភូមិវិទ្យា</t>
  </si>
  <si>
    <t>បរិញ្ញាបត្រ+១</t>
  </si>
  <si>
    <t>គ្រប់គ្រងបច្ចេកវិទ្យានវានុវត្តន៍</t>
  </si>
  <si>
    <t>បណ្ឌិត</t>
  </si>
  <si>
    <t>ជំនួយតាមរយៈសាកលវិទ្យាល័យ</t>
  </si>
  <si>
    <t>ស្តង់ដារវិជ្ជាជីវៈគ្រូបង្រៀន</t>
  </si>
  <si>
    <t>012 322 701</t>
  </si>
  <si>
    <t>ក.២.១</t>
  </si>
  <si>
    <t>សេដ្ឋកិច្ច គ្រប់គ្រង</t>
  </si>
  <si>
    <t>គ្រប់គ្រងការអភិវឌ្ឍន៏</t>
  </si>
  <si>
    <t>ភូមិវិទ្យា</t>
  </si>
  <si>
    <t>5/14/1987</t>
  </si>
  <si>
    <t>078 936 167</t>
  </si>
  <si>
    <t>ក.៣.១</t>
  </si>
  <si>
    <t>វិទ្យាសាស្ត្រអប់រំ​ Curriculum and Instruction</t>
  </si>
  <si>
    <t>ជំនួយអាហារូបករណ៍ពី UNECEF</t>
  </si>
  <si>
    <t>10/25/1973</t>
  </si>
  <si>
    <t>012 202 987</t>
  </si>
  <si>
    <t>ឡៃ ចិន្ដា</t>
  </si>
  <si>
    <t>9/16/1989</t>
  </si>
  <si>
    <t>010 395 278</t>
  </si>
  <si>
    <t>ក.​២.២</t>
  </si>
  <si>
    <t>ភាសាវិទ្យា</t>
  </si>
  <si>
    <t>012 270 266</t>
  </si>
  <si>
    <t>វប្បធម៌ទូទៅ</t>
  </si>
  <si>
    <t>017 627 545</t>
  </si>
  <si>
    <t>ក1.3</t>
  </si>
  <si>
    <t>វិទ្យាសាស្រ្តអប់រំ</t>
  </si>
  <si>
    <t>សីលធម៌-ពលរដ្ឋ</t>
  </si>
  <si>
    <t>សីលធម៌ពលរដ្ឋវិជ្ជា</t>
  </si>
  <si>
    <t>089 544 911</t>
  </si>
  <si>
    <t>វិទ្យាសាស្ត្រអប់រំ</t>
  </si>
  <si>
    <t>ទប់ស្កាត់-ជួញដូ</t>
  </si>
  <si>
    <t>011 779 750</t>
  </si>
  <si>
    <t>ក្រសួងអប់រំយុវជន និងកីឡា</t>
  </si>
  <si>
    <t>អង់គ្លេស</t>
  </si>
  <si>
    <t>012 774 020</t>
  </si>
  <si>
    <t>ក​២៣</t>
  </si>
  <si>
    <t>Educational Leadership of Management (Mgt)</t>
  </si>
  <si>
    <t>Australian Government Scholarship (ADS)</t>
  </si>
  <si>
    <t>10/15/1984</t>
  </si>
  <si>
    <t>092 382 838</t>
  </si>
  <si>
    <t>បន្តការសិក្សា​ហុងគ្រី</t>
  </si>
  <si>
    <t>089 881 846</t>
  </si>
  <si>
    <t>ក​.២.២</t>
  </si>
  <si>
    <t>project management and rural development</t>
  </si>
  <si>
    <t>2/27/1984</t>
  </si>
  <si>
    <t>092 777 221</t>
  </si>
  <si>
    <t>ការបង្រៀនភាសាអង់គ្លេសជាភាសាទី TESOL</t>
  </si>
  <si>
    <t>092 605 484</t>
  </si>
  <si>
    <t>077 510 721</t>
  </si>
  <si>
    <t>ខ.១.៦</t>
  </si>
  <si>
    <t>012 305 156</t>
  </si>
  <si>
    <t>អក្សរសាស្រ្ដអង់គ្លេស</t>
  </si>
  <si>
    <t>1/20/1982</t>
  </si>
  <si>
    <t>012 214 128</t>
  </si>
  <si>
    <t>ខ.២.៣</t>
  </si>
  <si>
    <t>កម្មវិធីសិក្សា និងការបង្រៀន (Curriculum and Instruction)</t>
  </si>
  <si>
    <t xml:space="preserve">UNICEF (CDPF) Phase3 </t>
  </si>
  <si>
    <t>ចិត្តគរុកោសល្យ</t>
  </si>
  <si>
    <t xml:space="preserve">រដ្ឋបាលសាធារណៈ </t>
  </si>
  <si>
    <t xml:space="preserve">ថវិកាផ្ទាល់ខ្លួន </t>
  </si>
  <si>
    <t>ចិត្ត-គរុកោសល្យ</t>
  </si>
  <si>
    <t>7/16/1982</t>
  </si>
  <si>
    <t>012 642 528</t>
  </si>
  <si>
    <t>វិទ្យាសាស្ដ្រអប់រំ</t>
  </si>
  <si>
    <t>កម្មវិធីសិក្សានិង វិធីសាស្ត្របង្រៀន</t>
  </si>
  <si>
    <t xml:space="preserve">UNICEF </t>
  </si>
  <si>
    <t>បន្តការសិក្សា</t>
  </si>
  <si>
    <t>077 499 776</t>
  </si>
  <si>
    <t>វីទ្យាសាស្រ្តអប់រំ</t>
  </si>
  <si>
    <t>6/16/1986</t>
  </si>
  <si>
    <t>017 687 802</t>
  </si>
  <si>
    <t>កម្មវិធីសិក្សានិងវិធីសាស្ត្របង្រៀន</t>
  </si>
  <si>
    <t>មូលនិធិភាពជាដៃគូសម្រាប់អភិវឌ្ឍសមត្ថភាពវិស័អប់រំ</t>
  </si>
  <si>
    <t>096 285 9414</t>
  </si>
  <si>
    <t>ក.៣.២</t>
  </si>
  <si>
    <t>គ្រប់គ្រងអប់រំ</t>
  </si>
  <si>
    <t>010 365 233</t>
  </si>
  <si>
    <t>ICT</t>
  </si>
  <si>
    <t>បរិញ្ញាបត្រជាន់ខ្ពស់អប់រំ</t>
  </si>
  <si>
    <t>KOICA</t>
  </si>
  <si>
    <t>បន្តការសិក្សានៅកូរ៉េ</t>
  </si>
  <si>
    <t>3/27/1984</t>
  </si>
  <si>
    <t>012 404 841</t>
  </si>
  <si>
    <t>097 999 2928</t>
  </si>
  <si>
    <t>កសិកម្</t>
  </si>
  <si>
    <t>Jica</t>
  </si>
  <si>
    <t>បរិស្ថាន</t>
  </si>
  <si>
    <t>015 529 398</t>
  </si>
  <si>
    <t>ក.២.៤</t>
  </si>
  <si>
    <t>ភាសាអង់គេ្លស</t>
  </si>
  <si>
    <t>កុំព្យូទ័រ</t>
  </si>
  <si>
    <t>016 459 757</t>
  </si>
  <si>
    <t>គំនូរ សូន្យរូប</t>
  </si>
  <si>
    <t>គ្រប់គ្រងសាលារៀន(LUP)</t>
  </si>
  <si>
    <t>ធនាគារពិភពលោក</t>
  </si>
  <si>
    <t>សិល្បះ</t>
  </si>
  <si>
    <t>012 937 579</t>
  </si>
  <si>
    <t>ខ.២.៤</t>
  </si>
  <si>
    <t>ប្រវត្តិវិទ្យា-ភូមិវិទ្យា</t>
  </si>
  <si>
    <t>រោងជាង</t>
  </si>
  <si>
    <t>ឆន  ពិសិទ្ធ</t>
  </si>
  <si>
    <t>កម្មវិធីសិក្សា និងវិធីសាស្ត្រ</t>
  </si>
  <si>
    <t>UNICEF</t>
  </si>
  <si>
    <t>ក៣.២</t>
  </si>
  <si>
    <t>កម្មវិធីសិក្សា និង វិធីសាស្ត្របង្រៀន</t>
  </si>
  <si>
    <t xml:space="preserve">ថរិកា របស់ UNICEF </t>
  </si>
  <si>
    <t>កម្មវិធីសិក្សានិងវិធីសាស្រ្តបង្រៀន</t>
  </si>
  <si>
    <t>Unicef</t>
  </si>
  <si>
    <t>សន  រិទ្ធី</t>
  </si>
  <si>
    <t>1/28/1990</t>
  </si>
  <si>
    <t>ភាពជាអ្នកដឹកនាំការអប់រំសាកល</t>
  </si>
  <si>
    <t>មៀច  ធុយ</t>
  </si>
  <si>
    <t>ភាពជាអ្នកដឹកនាំអប់រំសកល</t>
  </si>
  <si>
    <t>KOCA</t>
  </si>
  <si>
    <t>096 995 6036</t>
  </si>
  <si>
    <t>ខ.៣.១</t>
  </si>
  <si>
    <t>កីឡា</t>
  </si>
  <si>
    <t>អប់រំកាយ និង កីឡា</t>
  </si>
  <si>
    <t>អប់រំកាយ</t>
  </si>
  <si>
    <t>012 433 143</t>
  </si>
  <si>
    <t>មិនបង្រៀន</t>
  </si>
  <si>
    <t>077 559 967</t>
  </si>
  <si>
    <t>ក .២.១</t>
  </si>
  <si>
    <t>នាយិការង</t>
  </si>
  <si>
    <t>092 737 648</t>
  </si>
  <si>
    <t>ចិត្តវិទ្យា</t>
  </si>
  <si>
    <t>010 420 637</t>
  </si>
  <si>
    <t>ប្រធាន</t>
  </si>
  <si>
    <t>012 236 891</t>
  </si>
  <si>
    <t>ខ.1.6</t>
  </si>
  <si>
    <t>គ្រូឧទ្ទេស</t>
  </si>
  <si>
    <t>មធ្យមសិក្សាបឋមភូមិ</t>
  </si>
  <si>
    <t>បង្រៀន</t>
  </si>
  <si>
    <t>កិច្ចព្រមព្រៀង BA+1</t>
  </si>
  <si>
    <t>017 225 545</t>
  </si>
  <si>
    <t>អនុប្រធាន</t>
  </si>
  <si>
    <t>មធ្យមសិក្សាទុតិយភូមិ</t>
  </si>
  <si>
    <t>092 902 511</t>
  </si>
  <si>
    <t>ក.១.១</t>
  </si>
  <si>
    <t>012 584 338</t>
  </si>
  <si>
    <t>ខ ១ ៣</t>
  </si>
  <si>
    <t>015 612 512</t>
  </si>
  <si>
    <t>ក.៣.៤</t>
  </si>
  <si>
    <t>មន្ដ្រី</t>
  </si>
  <si>
    <t>មន្ត្រីគ្រប់គ្រងរដ្ឋបាល</t>
  </si>
  <si>
    <t>គ្រប់គ្រង</t>
  </si>
  <si>
    <t>សឹង​ ហ៊ីណារិន</t>
  </si>
  <si>
    <t>087 797 776</t>
  </si>
  <si>
    <t>ខ.៣.២</t>
  </si>
  <si>
    <t>ខ្មែរ-គេហកិច្ច</t>
  </si>
  <si>
    <t>ឌឿន អ៊ី</t>
  </si>
  <si>
    <t>099 283 783</t>
  </si>
  <si>
    <t>ICT បណ្ណាល័យ</t>
  </si>
  <si>
    <t>011 760 236</t>
  </si>
  <si>
    <t>ខ.៣.៣</t>
  </si>
  <si>
    <t>ខ្មែរ-ពលរដ្ឋ</t>
  </si>
  <si>
    <t>មធ្យមសិក្សាទុយភូមិ</t>
  </si>
  <si>
    <t>016 549 414</t>
  </si>
  <si>
    <t>រដ្ឋបាលសាធារណៈ</t>
  </si>
  <si>
    <t>គេហកិច្ច</t>
  </si>
  <si>
    <t>ទំនាក់ទំនង</t>
  </si>
  <si>
    <t>012 550 812</t>
  </si>
  <si>
    <t>ក.១.៤</t>
  </si>
  <si>
    <t>មត្តេយ្យ</t>
  </si>
  <si>
    <t>រដ្ឋាភិបាល</t>
  </si>
  <si>
    <t>វិទ្យាសាស្រ្ត</t>
  </si>
  <si>
    <t>ឃាង  ចាន់ដេត</t>
  </si>
  <si>
    <t>វិទ្យាសាស្ត្រអនុវត្ត</t>
  </si>
  <si>
    <t>098​​ 6161 63</t>
  </si>
  <si>
    <t>តុបតែងលម្អរ</t>
  </si>
  <si>
    <t>គំនូ</t>
  </si>
  <si>
    <t>ក២៤</t>
  </si>
  <si>
    <t>089 930 667</t>
  </si>
  <si>
    <t>គម្រោង TUP</t>
  </si>
  <si>
    <t>ចិត្តវិទ្យា ភាសាអង់គ្លេស</t>
  </si>
  <si>
    <t>ចិត្តវិទ្យា និង គរុកោសល្យ</t>
  </si>
  <si>
    <t>015 440 254</t>
  </si>
  <si>
    <t>TUP</t>
  </si>
  <si>
    <t>ភាសាខ្មែរ</t>
  </si>
  <si>
    <t>ប្រវត្តិវិទ្យា ភូមិវិទ្យា</t>
  </si>
  <si>
    <t>017 661 686</t>
  </si>
  <si>
    <t>ប្រវត្តវិទ្យា</t>
  </si>
  <si>
    <t>ប្រវត្តវិទ្យា ភូមិវិទ្យា</t>
  </si>
  <si>
    <t>011 403 688</t>
  </si>
  <si>
    <t>ភូមិ ប្រវត្តិ</t>
  </si>
  <si>
    <t>012 933 475</t>
  </si>
  <si>
    <t>092 833681</t>
  </si>
  <si>
    <t>ស្រ៊ុន សុភក្រ្ត</t>
  </si>
  <si>
    <t>061 414 646</t>
  </si>
  <si>
    <t>គំនូរវិចិត្រកម្ម</t>
  </si>
  <si>
    <t>092 740​ ​682</t>
  </si>
  <si>
    <t>011 205 871</t>
  </si>
  <si>
    <t>សឹង ហ៊ីណារុំ</t>
  </si>
  <si>
    <t>096 627 8992</t>
  </si>
  <si>
    <t>ខ.២ ១</t>
  </si>
  <si>
    <t>ឃីម វ៉ាន់ឌី</t>
  </si>
  <si>
    <t>086 572 451</t>
  </si>
  <si>
    <t>បារាំង ខ្មែរ</t>
  </si>
  <si>
    <t>អប់រំកម្រិតបឋម</t>
  </si>
  <si>
    <t>UNESCO</t>
  </si>
  <si>
    <t>ស្រាវជ្រាវអប់រំ ,កុំព្យូទ័រ</t>
  </si>
  <si>
    <t>ខ.១.៥</t>
  </si>
  <si>
    <t>គេហ សីលធម៌</t>
  </si>
  <si>
    <t>សីលធម៌ពលរដ្ឋ</t>
  </si>
  <si>
    <t>092 808 363</t>
  </si>
  <si>
    <t>ថវិកាក្រសួង</t>
  </si>
  <si>
    <t>012 576 434</t>
  </si>
  <si>
    <t>ខ្មែរ គេហវិទ្យា</t>
  </si>
  <si>
    <t>គឹម  សុកញ្ញា</t>
  </si>
  <si>
    <t>017 544 243</t>
  </si>
  <si>
    <t>ភាសាអង់គ្លេស-ខ្មែរ</t>
  </si>
  <si>
    <t>ខ្មែរ</t>
  </si>
  <si>
    <t>012 481 018</t>
  </si>
  <si>
    <t>ភាសាខ្មែរ គេហវិទ្យា</t>
  </si>
  <si>
    <t>ភាសាខ្មែរ លើកកម្ពស់ភាសាជាតិ</t>
  </si>
  <si>
    <t>017 261463</t>
  </si>
  <si>
    <t>ជីវវិទ្យា ផែនដីវិទ្យា</t>
  </si>
  <si>
    <t>វិទ្យាសាស្ត្រ</t>
  </si>
  <si>
    <t>017 763 571</t>
  </si>
  <si>
    <t>STEPCam</t>
  </si>
  <si>
    <t>វាយតម្លៃការសិក្សា</t>
  </si>
  <si>
    <t>010 988 740</t>
  </si>
  <si>
    <t>សិក្សាសង្គម</t>
  </si>
  <si>
    <t>អង្គការUNESCO</t>
  </si>
  <si>
    <t>ការវាយតម្លៃការសិក្សា</t>
  </si>
  <si>
    <t>070 840 703</t>
  </si>
  <si>
    <t>អប់រំកាយ និងកីឡា</t>
  </si>
  <si>
    <t>អប់រំកាយនិងកីឡា</t>
  </si>
  <si>
    <t>គ្រប់គ្រងគម្រោង និងអភិវឌ្ឍជនបទ</t>
  </si>
  <si>
    <t>ព័ត៌មានវិទ្យា</t>
  </si>
  <si>
    <t>វិស្វកម្មព័ត៌មានវិទ្យា</t>
  </si>
  <si>
    <t>បរិញ្ញាបត្រជាន់់ខ្ពស់</t>
  </si>
  <si>
    <t>ល.រ</t>
  </si>
  <si>
    <t>នាម គោត្តនាម</t>
  </si>
  <si>
    <t>ឈ្មោះជាអក្សរឡាតាំង</t>
  </si>
  <si>
    <t>ភេទ</t>
  </si>
  <si>
    <t>អត្តលេខមន្រ្តី</t>
  </si>
  <si>
    <t>លេខទូរសព្ទ</t>
  </si>
  <si>
    <t>ខេត្ត</t>
  </si>
  <si>
    <t>ដើម</t>
  </si>
  <si>
    <t>ចុងក្រោយ</t>
  </si>
  <si>
    <t>កំពុងបន្តការសិក្សា</t>
  </si>
  <si>
    <t>ឯកទេសដើម និង ចុងក្រោយ</t>
  </si>
  <si>
    <t>មុខវិជ្ជាបង្រៀន
ជាក់ស្ដែង</t>
  </si>
  <si>
    <t>ផ្សេងៗ</t>
  </si>
  <si>
    <t>លេខគណនេយ្យបៀរវត្ស</t>
  </si>
  <si>
    <t>ថ្ងៃខែឆ្នាំកំណើត</t>
  </si>
  <si>
    <t>ប្រភេទកាំ</t>
  </si>
  <si>
    <t>តួនាទី</t>
  </si>
  <si>
    <t>00010296351129</t>
  </si>
  <si>
    <t>012​ 530 379</t>
  </si>
  <si>
    <t>015 953 435</t>
  </si>
  <si>
    <t>097 248 6868</t>
  </si>
  <si>
    <t>078 600 636</t>
  </si>
  <si>
    <t>016 376 387</t>
  </si>
  <si>
    <t>012​ 752 553</t>
  </si>
  <si>
    <t>012​ 492 550</t>
  </si>
  <si>
    <t>096​ 816 1466</t>
  </si>
  <si>
    <t>088 ​913 0994</t>
  </si>
  <si>
    <t>088 420 0517</t>
  </si>
  <si>
    <t>088 666 6584</t>
  </si>
  <si>
    <t>010 425 656</t>
  </si>
  <si>
    <t>096 594 3920</t>
  </si>
  <si>
    <t>097 922 7898</t>
  </si>
  <si>
    <t>086 606 996</t>
  </si>
  <si>
    <t>085 616 633</t>
  </si>
  <si>
    <t>096 393 9987</t>
  </si>
  <si>
    <t>ក.១.3</t>
  </si>
  <si>
    <t>នាយក​សាលា​បឋម​អនុវត្តន៍</t>
  </si>
  <si>
    <t>នាយិការង​សាលា​បឋម​អនុវត្តន៍</t>
  </si>
  <si>
    <t>គ្រូបឋមសិក្សា</t>
  </si>
  <si>
    <t>061 678 720</t>
  </si>
  <si>
    <t>061 647 862</t>
  </si>
  <si>
    <t>061 697 563</t>
  </si>
  <si>
    <t>061 993 277</t>
  </si>
  <si>
    <t>061 654 592</t>
  </si>
  <si>
    <t>061 533 873</t>
  </si>
  <si>
    <t>061 640 844</t>
  </si>
  <si>
    <t>061 674 926</t>
  </si>
  <si>
    <t>061 576 591</t>
  </si>
  <si>
    <t>062 103 153</t>
  </si>
  <si>
    <t>016 639 824</t>
  </si>
  <si>
    <t>061 624 305</t>
  </si>
  <si>
    <t>061 950 955</t>
  </si>
  <si>
    <t>061 347 994</t>
  </si>
  <si>
    <t>061 878 425</t>
  </si>
  <si>
    <t>061 437 103</t>
  </si>
  <si>
    <t>061 761 910</t>
  </si>
  <si>
    <t>061 636 917</t>
  </si>
  <si>
    <t>061 413 850</t>
  </si>
  <si>
    <t>061 359 500</t>
  </si>
  <si>
    <t>គ.5</t>
  </si>
  <si>
    <t>គ.10</t>
  </si>
  <si>
    <t>គ.2</t>
  </si>
  <si>
    <t>គ.6</t>
  </si>
  <si>
    <t>គ.7</t>
  </si>
  <si>
    <t>គ.8</t>
  </si>
  <si>
    <t>គ.9</t>
  </si>
  <si>
    <t>នាយកសាលា</t>
  </si>
  <si>
    <t>សិក្ខាបនធារី</t>
  </si>
  <si>
    <t>បំណិន</t>
  </si>
  <si>
    <t>លេខា</t>
  </si>
  <si>
    <t>គ្រូប្រឹក្សា</t>
  </si>
  <si>
    <t>មឿន ស៊ីណា</t>
  </si>
  <si>
    <t>097 7019438</t>
  </si>
  <si>
    <t>ម៉ុន សុខចេង</t>
  </si>
  <si>
    <t>066 545137</t>
  </si>
  <si>
    <t>គ.៩</t>
  </si>
  <si>
    <t>គ្រូកម្រិតបឋម</t>
  </si>
  <si>
    <t>ផៃ ស្រីណុច</t>
  </si>
  <si>
    <t>088 6724911</t>
  </si>
  <si>
    <t>គ.១០</t>
  </si>
  <si>
    <t>ភាព រចនា</t>
  </si>
  <si>
    <t>010 990963</t>
  </si>
  <si>
    <t>គ.៨</t>
  </si>
  <si>
    <t>ចាន់ ថាភិរម្យ</t>
  </si>
  <si>
    <t>098 331517</t>
  </si>
  <si>
    <t>ម៉ាន់ ស្រីកែវ</t>
  </si>
  <si>
    <t>096 2291467</t>
  </si>
  <si>
    <t>គ្រូកិច្ចសន្យា NGS</t>
  </si>
  <si>
    <t>Moeurn Sina</t>
  </si>
  <si>
    <t>Mon Sokcheng</t>
  </si>
  <si>
    <t>Phai Sreynoch</t>
  </si>
  <si>
    <t>Pheap Rachana</t>
  </si>
  <si>
    <t>Chan Thapherom</t>
  </si>
  <si>
    <t>Mann Sreykeo</t>
  </si>
  <si>
    <t>moeurn.sina</t>
  </si>
  <si>
    <t>mon.sokcheng</t>
  </si>
  <si>
    <t>phai.sreynoch</t>
  </si>
  <si>
    <t>pheap.rachana</t>
  </si>
  <si>
    <t>chan.thapherom</t>
  </si>
  <si>
    <t>mann.sreykeo</t>
  </si>
  <si>
    <t>លេខាធិការ</t>
  </si>
  <si>
    <t>បំណិនជីវិត</t>
  </si>
  <si>
    <t>បណ្ណរក្ស</t>
  </si>
  <si>
    <t>ប្រឹក្សាគរុកោសល្យ</t>
  </si>
  <si>
    <t>គណនេយ្យ</t>
  </si>
  <si>
    <t>មន្ត្រីកិច្ចសន្យា</t>
  </si>
  <si>
    <t>tittle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</si>
</sst>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0"/>
      <color theme="1"/>
      <name val="Hanuman"/>
      <family val="1"/>
    </font>
    <font>
      <sz val="12"/>
      <color theme="1"/>
      <name val="Hanuman"/>
      <family val="1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Hanuman"/>
      <family val="1"/>
    </font>
    <font>
      <sz val="10"/>
      <color rgb="FFFF0000"/>
      <name val="Hanuman"/>
      <family val="1"/>
    </font>
    <font>
      <sz val="12"/>
      <color rgb="FFFF0000"/>
      <name val="Hanuman"/>
      <family val="1"/>
    </font>
    <font>
      <sz val="12"/>
      <color rgb="FF00B050"/>
      <name val="Hanuman"/>
      <family val="1"/>
    </font>
    <font>
      <sz val="12"/>
      <color rgb="FF00B0F0"/>
      <name val="Hanu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 applyAlignment="1">
      <alignment horizontal="right"/>
    </xf>
    <xf numFmtId="1" fontId="1" fillId="0" borderId="0" xfId="0" quotePrefix="1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workbookViewId="0">
      <selection activeCell="A2" sqref="A2:A131"/>
    </sheetView>
  </sheetViews>
  <sheetFormatPr defaultRowHeight="18.3" x14ac:dyDescent="0.6"/>
  <cols>
    <col min="1" max="1" width="6.36328125" style="2" customWidth="1"/>
    <col min="2" max="2" width="39.36328125" style="1" bestFit="1" customWidth="1"/>
    <col min="3" max="3" width="12.1796875" style="1" customWidth="1"/>
    <col min="4" max="4" width="7.54296875" style="1" customWidth="1"/>
    <col min="5" max="5" width="7.90625" style="1" customWidth="1"/>
    <col min="6" max="6" width="31.6328125" style="3" customWidth="1"/>
    <col min="7" max="7" width="13.54296875" style="1" customWidth="1"/>
    <col min="8" max="16384" width="8.7265625" style="1"/>
  </cols>
  <sheetData>
    <row r="1" spans="1:7" x14ac:dyDescent="0.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6">
      <c r="A2" s="2">
        <v>1</v>
      </c>
      <c r="B2" s="1" t="s">
        <v>402</v>
      </c>
      <c r="C2" s="1" t="s">
        <v>7</v>
      </c>
      <c r="D2" s="1" t="s">
        <v>7</v>
      </c>
      <c r="E2" s="1" t="s">
        <v>8</v>
      </c>
      <c r="F2" s="3">
        <f>INDEX(people!$A$2:$A$300, MATCH(G2,people!$C$2:$C$300, 0))</f>
        <v>1680300332</v>
      </c>
      <c r="G2" s="1" t="s">
        <v>17</v>
      </c>
    </row>
    <row r="3" spans="1:7" x14ac:dyDescent="0.6">
      <c r="A3" s="2">
        <v>2</v>
      </c>
      <c r="B3" s="1" t="s">
        <v>403</v>
      </c>
      <c r="D3" s="1">
        <f>A2</f>
        <v>1</v>
      </c>
      <c r="E3" s="1" t="s">
        <v>8</v>
      </c>
      <c r="F3" s="3">
        <f>INDEX(people!$A$2:$A$300, MATCH(G3,people!$C$2:$C$300, 0))</f>
        <v>1680800830</v>
      </c>
      <c r="G3" s="1" t="s">
        <v>77</v>
      </c>
    </row>
    <row r="4" spans="1:7" x14ac:dyDescent="0.6">
      <c r="A4" s="2">
        <v>3</v>
      </c>
      <c r="B4" s="1" t="s">
        <v>403</v>
      </c>
      <c r="D4" s="1">
        <f>A2</f>
        <v>1</v>
      </c>
      <c r="E4" s="1" t="s">
        <v>8</v>
      </c>
      <c r="F4" s="3" t="str">
        <f>INDEX(people!$A$2:$A$300, MATCH(G4,people!$C$2:$C$300, 0))</f>
        <v>​​​​​​​​​​​​​​​​​​​​​​​​​​​​​​​​​​​1740600213</v>
      </c>
      <c r="G4" s="1" t="s">
        <v>19</v>
      </c>
    </row>
    <row r="5" spans="1:7" x14ac:dyDescent="0.6">
      <c r="A5" s="2">
        <v>4</v>
      </c>
      <c r="B5" s="1" t="s">
        <v>142</v>
      </c>
      <c r="D5" s="1">
        <f>$A$3</f>
        <v>2</v>
      </c>
      <c r="E5" s="1" t="s">
        <v>143</v>
      </c>
      <c r="F5" s="3">
        <f>INDEX(people!$A$2:$A$300, MATCH(G5,people!$C$2:$C$300, 0))</f>
        <v>2690300192</v>
      </c>
      <c r="G5" s="1" t="s">
        <v>78</v>
      </c>
    </row>
    <row r="6" spans="1:7" x14ac:dyDescent="0.6">
      <c r="A6" s="2">
        <v>5</v>
      </c>
      <c r="B6" s="1" t="s">
        <v>142</v>
      </c>
      <c r="D6" s="1">
        <f t="shared" ref="D6:D7" si="0">$A$3</f>
        <v>2</v>
      </c>
      <c r="E6" s="1" t="s">
        <v>143</v>
      </c>
      <c r="F6" s="3">
        <f>INDEX(people!$A$2:$A$300, MATCH(G6,people!$C$2:$C$300, 0))</f>
        <v>1710300275</v>
      </c>
      <c r="G6" s="1" t="s">
        <v>20</v>
      </c>
    </row>
    <row r="7" spans="1:7" x14ac:dyDescent="0.6">
      <c r="A7" s="2">
        <v>6</v>
      </c>
      <c r="B7" s="1" t="s">
        <v>142</v>
      </c>
      <c r="D7" s="1">
        <f t="shared" si="0"/>
        <v>2</v>
      </c>
      <c r="E7" s="1" t="s">
        <v>143</v>
      </c>
      <c r="F7" s="3">
        <f>INDEX(people!$A$2:$A$300, MATCH(G7,people!$C$2:$C$300, 0))</f>
        <v>1931000087</v>
      </c>
      <c r="G7" s="1" t="s">
        <v>112</v>
      </c>
    </row>
    <row r="8" spans="1:7" x14ac:dyDescent="0.6">
      <c r="A8" s="2">
        <v>7</v>
      </c>
      <c r="B8" s="1" t="s">
        <v>142</v>
      </c>
      <c r="D8" s="1">
        <f>$A$4</f>
        <v>3</v>
      </c>
      <c r="E8" s="1" t="s">
        <v>143</v>
      </c>
      <c r="F8" s="3">
        <f>INDEX(people!$A$2:$A$300, MATCH(G8,people!$C$2:$C$300, 0))</f>
        <v>1800800450</v>
      </c>
      <c r="G8" s="1" t="s">
        <v>79</v>
      </c>
    </row>
    <row r="9" spans="1:7" x14ac:dyDescent="0.6">
      <c r="A9" s="2">
        <v>8</v>
      </c>
      <c r="B9" s="1" t="s">
        <v>142</v>
      </c>
      <c r="D9" s="1">
        <f t="shared" ref="D9:D11" si="1">$A$4</f>
        <v>3</v>
      </c>
      <c r="E9" s="1" t="s">
        <v>143</v>
      </c>
      <c r="F9" s="3">
        <f>INDEX(people!$A$2:$A$300, MATCH(G9,people!$C$2:$C$300, 0))</f>
        <v>1800300408</v>
      </c>
      <c r="G9" s="1" t="s">
        <v>43</v>
      </c>
    </row>
    <row r="10" spans="1:7" x14ac:dyDescent="0.6">
      <c r="A10" s="2">
        <v>9</v>
      </c>
      <c r="B10" s="1" t="s">
        <v>142</v>
      </c>
      <c r="D10" s="1">
        <f t="shared" si="1"/>
        <v>3</v>
      </c>
      <c r="E10" s="1" t="s">
        <v>143</v>
      </c>
      <c r="F10" s="3">
        <f>INDEX(people!$A$2:$A$300, MATCH(G10,people!$C$2:$C$300, 0))</f>
        <v>1900300145</v>
      </c>
      <c r="G10" s="1" t="s">
        <v>53</v>
      </c>
    </row>
    <row r="11" spans="1:7" x14ac:dyDescent="0.6">
      <c r="A11" s="2">
        <v>10</v>
      </c>
      <c r="B11" s="1" t="s">
        <v>142</v>
      </c>
      <c r="D11" s="1">
        <f t="shared" si="1"/>
        <v>3</v>
      </c>
      <c r="E11" s="1" t="s">
        <v>143</v>
      </c>
      <c r="F11" s="3">
        <f>INDEX(people!$A$2:$A$300, MATCH(G11,people!$C$2:$C$300, 0))</f>
        <v>2880300262</v>
      </c>
      <c r="G11" s="1" t="s">
        <v>40</v>
      </c>
    </row>
    <row r="12" spans="1:7" x14ac:dyDescent="0.6">
      <c r="A12" s="2">
        <v>11</v>
      </c>
      <c r="B12" s="1" t="s">
        <v>808</v>
      </c>
      <c r="D12" s="1">
        <f>A3</f>
        <v>2</v>
      </c>
      <c r="E12" s="1" t="s">
        <v>8</v>
      </c>
      <c r="F12" s="3">
        <f>INDEX(people!$A$2:$A$300, MATCH(G12,people!$C$2:$C$300, 0))</f>
        <v>1720300297</v>
      </c>
      <c r="G12" s="1" t="s">
        <v>120</v>
      </c>
    </row>
    <row r="13" spans="1:7" x14ac:dyDescent="0.6">
      <c r="A13" s="2">
        <v>12</v>
      </c>
      <c r="B13" s="1" t="s">
        <v>809</v>
      </c>
      <c r="D13" s="1">
        <f>A12</f>
        <v>11</v>
      </c>
      <c r="E13" s="1" t="s">
        <v>8</v>
      </c>
      <c r="F13" s="3">
        <f>INDEX(people!$A$2:$A$300, MATCH(G13,people!$C$2:$C$300, 0))</f>
        <v>2740300117</v>
      </c>
      <c r="G13" s="1" t="s">
        <v>121</v>
      </c>
    </row>
    <row r="14" spans="1:7" x14ac:dyDescent="0.6">
      <c r="A14" s="2">
        <v>13</v>
      </c>
      <c r="B14" s="1" t="s">
        <v>872</v>
      </c>
      <c r="D14" s="1">
        <f t="shared" ref="D14:D21" si="2">$A$13</f>
        <v>12</v>
      </c>
      <c r="E14" s="1" t="s">
        <v>8</v>
      </c>
      <c r="F14" s="3">
        <f>INDEX(people!$A$2:$A$300, MATCH(G14,people!$C$2:$C$300, 0))</f>
        <v>1680300329</v>
      </c>
      <c r="G14" s="19" t="s">
        <v>130</v>
      </c>
    </row>
    <row r="15" spans="1:7" x14ac:dyDescent="0.6">
      <c r="A15" s="2">
        <v>14</v>
      </c>
      <c r="B15" s="1" t="s">
        <v>876</v>
      </c>
      <c r="D15" s="1">
        <f t="shared" ref="D15:D20" si="3">$A$14</f>
        <v>13</v>
      </c>
      <c r="E15" s="1" t="s">
        <v>8</v>
      </c>
      <c r="F15" s="3">
        <f>INDEX(people!$A$2:$A$300, MATCH(G15,people!$C$2:$C$300, 0))</f>
        <v>2940300006</v>
      </c>
      <c r="G15" s="19" t="s">
        <v>132</v>
      </c>
    </row>
    <row r="16" spans="1:7" x14ac:dyDescent="0.6">
      <c r="A16" s="2">
        <v>15</v>
      </c>
      <c r="B16" s="1" t="s">
        <v>874</v>
      </c>
      <c r="D16" s="1">
        <f t="shared" si="3"/>
        <v>13</v>
      </c>
      <c r="E16" s="1" t="s">
        <v>8</v>
      </c>
      <c r="F16" s="3">
        <f>INDEX(people!$A$2:$A$300, MATCH(G16,people!$C$2:$C$300, 0))</f>
        <v>2760300055</v>
      </c>
      <c r="G16" s="19" t="s">
        <v>124</v>
      </c>
    </row>
    <row r="17" spans="1:7" x14ac:dyDescent="0.6">
      <c r="A17" s="2">
        <v>16</v>
      </c>
      <c r="B17" s="1" t="s">
        <v>639</v>
      </c>
      <c r="D17" s="1">
        <f t="shared" si="3"/>
        <v>13</v>
      </c>
      <c r="E17" s="1" t="s">
        <v>8</v>
      </c>
      <c r="F17" s="3">
        <f>INDEX(people!$A$2:$A$300, MATCH(G17,people!$C$2:$C$300, 0))</f>
        <v>1850300039</v>
      </c>
      <c r="G17" s="19" t="s">
        <v>127</v>
      </c>
    </row>
    <row r="18" spans="1:7" x14ac:dyDescent="0.6">
      <c r="A18" s="2">
        <v>17</v>
      </c>
      <c r="B18" s="1" t="s">
        <v>873</v>
      </c>
      <c r="D18" s="1">
        <f>$A$14</f>
        <v>13</v>
      </c>
      <c r="E18" s="1" t="s">
        <v>8</v>
      </c>
      <c r="F18" s="3">
        <f>INDEX(people!$A$2:$A$300, MATCH(G18,people!$C$2:$C$300, 0))</f>
        <v>1750300287</v>
      </c>
      <c r="G18" s="19" t="s">
        <v>123</v>
      </c>
    </row>
    <row r="19" spans="1:7" x14ac:dyDescent="0.6">
      <c r="A19" s="2">
        <v>18</v>
      </c>
      <c r="B19" s="1" t="s">
        <v>875</v>
      </c>
      <c r="D19" s="1">
        <f t="shared" si="3"/>
        <v>13</v>
      </c>
      <c r="E19" s="1" t="s">
        <v>8</v>
      </c>
      <c r="F19" s="3">
        <f>INDEX(people!$A$2:$A$300, MATCH(G19,people!$C$2:$C$300, 0))</f>
        <v>2910300192</v>
      </c>
      <c r="G19" s="19" t="s">
        <v>131</v>
      </c>
    </row>
    <row r="20" spans="1:7" x14ac:dyDescent="0.6">
      <c r="A20" s="2">
        <v>19</v>
      </c>
      <c r="B20" s="1" t="s">
        <v>875</v>
      </c>
      <c r="D20" s="1">
        <f t="shared" si="3"/>
        <v>13</v>
      </c>
      <c r="E20" s="1" t="s">
        <v>8</v>
      </c>
      <c r="F20" s="3">
        <f>INDEX(people!$A$2:$A$300, MATCH(G20,people!$C$2:$C$300, 0))</f>
        <v>2980300044</v>
      </c>
      <c r="G20" s="19" t="s">
        <v>137</v>
      </c>
    </row>
    <row r="21" spans="1:7" x14ac:dyDescent="0.6">
      <c r="A21" s="2">
        <v>20</v>
      </c>
      <c r="B21" s="1" t="s">
        <v>810</v>
      </c>
      <c r="D21" s="1">
        <f t="shared" si="2"/>
        <v>12</v>
      </c>
      <c r="E21" s="1" t="s">
        <v>8</v>
      </c>
      <c r="F21" s="3">
        <f>INDEX(people!$A$2:$A$300, MATCH(G21,people!$C$2:$C$300, 0))</f>
        <v>2780300025</v>
      </c>
      <c r="G21" s="17" t="s">
        <v>125</v>
      </c>
    </row>
    <row r="22" spans="1:7" x14ac:dyDescent="0.6">
      <c r="A22" s="2">
        <v>21</v>
      </c>
      <c r="B22" s="1" t="s">
        <v>810</v>
      </c>
      <c r="D22" s="1">
        <f>$A$21</f>
        <v>20</v>
      </c>
      <c r="E22" s="1" t="s">
        <v>8</v>
      </c>
      <c r="F22" s="3">
        <f>INDEX(people!$A$2:$A$300, MATCH(G22,people!$C$2:$C$300, 0))</f>
        <v>2980300142</v>
      </c>
      <c r="G22" s="17" t="s">
        <v>122</v>
      </c>
    </row>
    <row r="23" spans="1:7" x14ac:dyDescent="0.6">
      <c r="A23" s="2">
        <v>22</v>
      </c>
      <c r="B23" s="1" t="s">
        <v>810</v>
      </c>
      <c r="D23" s="1">
        <f t="shared" ref="D23:D31" si="4">$A$21</f>
        <v>20</v>
      </c>
      <c r="E23" s="1" t="s">
        <v>8</v>
      </c>
      <c r="F23" s="3">
        <f>INDEX(people!$A$2:$A$300, MATCH(G23,people!$C$2:$C$300, 0))</f>
        <v>2820300159</v>
      </c>
      <c r="G23" s="17" t="s">
        <v>126</v>
      </c>
    </row>
    <row r="24" spans="1:7" x14ac:dyDescent="0.6">
      <c r="A24" s="2">
        <v>23</v>
      </c>
      <c r="B24" s="1" t="s">
        <v>810</v>
      </c>
      <c r="D24" s="1">
        <f t="shared" si="4"/>
        <v>20</v>
      </c>
      <c r="E24" s="1" t="s">
        <v>8</v>
      </c>
      <c r="F24" s="3">
        <f>INDEX(people!$A$2:$A$300, MATCH(G24,people!$C$2:$C$300, 0))</f>
        <v>2860300021</v>
      </c>
      <c r="G24" s="17" t="s">
        <v>128</v>
      </c>
    </row>
    <row r="25" spans="1:7" x14ac:dyDescent="0.6">
      <c r="A25" s="2">
        <v>24</v>
      </c>
      <c r="B25" s="1" t="s">
        <v>810</v>
      </c>
      <c r="D25" s="1">
        <f t="shared" si="4"/>
        <v>20</v>
      </c>
      <c r="E25" s="1" t="s">
        <v>8</v>
      </c>
      <c r="F25" s="3">
        <f>INDEX(people!$A$2:$A$300, MATCH(G25,people!$C$2:$C$300, 0))</f>
        <v>1870300055</v>
      </c>
      <c r="G25" s="17" t="s">
        <v>129</v>
      </c>
    </row>
    <row r="26" spans="1:7" x14ac:dyDescent="0.6">
      <c r="A26" s="2">
        <v>25</v>
      </c>
      <c r="B26" s="1" t="s">
        <v>810</v>
      </c>
      <c r="D26" s="1">
        <f t="shared" si="4"/>
        <v>20</v>
      </c>
      <c r="E26" s="1" t="s">
        <v>8</v>
      </c>
      <c r="F26" s="3">
        <f>INDEX(people!$A$2:$A$300, MATCH(G26,people!$C$2:$C$300, 0))</f>
        <v>1960300052</v>
      </c>
      <c r="G26" s="17" t="s">
        <v>138</v>
      </c>
    </row>
    <row r="27" spans="1:7" x14ac:dyDescent="0.6">
      <c r="A27" s="2">
        <v>26</v>
      </c>
      <c r="B27" s="1" t="s">
        <v>810</v>
      </c>
      <c r="D27" s="1">
        <f t="shared" si="4"/>
        <v>20</v>
      </c>
      <c r="E27" s="1" t="s">
        <v>8</v>
      </c>
      <c r="F27" s="3">
        <f>INDEX(people!$A$2:$A$300, MATCH(G27,people!$C$2:$C$300, 0))</f>
        <v>2960300120</v>
      </c>
      <c r="G27" s="17" t="s">
        <v>139</v>
      </c>
    </row>
    <row r="28" spans="1:7" x14ac:dyDescent="0.6">
      <c r="A28" s="2">
        <v>27</v>
      </c>
      <c r="B28" s="1" t="s">
        <v>810</v>
      </c>
      <c r="D28" s="1">
        <f t="shared" si="4"/>
        <v>20</v>
      </c>
      <c r="E28" s="1" t="s">
        <v>8</v>
      </c>
      <c r="F28" s="3">
        <f>INDEX(people!$A$2:$A$300, MATCH(G28,people!$C$2:$C$300, 0))</f>
        <v>1930300052</v>
      </c>
      <c r="G28" s="17" t="s">
        <v>133</v>
      </c>
    </row>
    <row r="29" spans="1:7" x14ac:dyDescent="0.6">
      <c r="A29" s="2">
        <v>28</v>
      </c>
      <c r="B29" s="1" t="s">
        <v>810</v>
      </c>
      <c r="D29" s="1">
        <f t="shared" si="4"/>
        <v>20</v>
      </c>
      <c r="E29" s="1" t="s">
        <v>8</v>
      </c>
      <c r="F29" s="3">
        <f>INDEX(people!$A$2:$A$300, MATCH(G29,people!$C$2:$C$300, 0))</f>
        <v>2981400029</v>
      </c>
      <c r="G29" s="17" t="s">
        <v>134</v>
      </c>
    </row>
    <row r="30" spans="1:7" x14ac:dyDescent="0.6">
      <c r="A30" s="2">
        <v>29</v>
      </c>
      <c r="B30" s="1" t="s">
        <v>810</v>
      </c>
      <c r="D30" s="1">
        <f t="shared" si="4"/>
        <v>20</v>
      </c>
      <c r="E30" s="1" t="s">
        <v>8</v>
      </c>
      <c r="F30" s="3">
        <f>INDEX(people!$A$2:$A$300, MATCH(G30,people!$C$2:$C$300, 0))</f>
        <v>2960300101</v>
      </c>
      <c r="G30" s="17" t="s">
        <v>135</v>
      </c>
    </row>
    <row r="31" spans="1:7" x14ac:dyDescent="0.6">
      <c r="A31" s="2">
        <v>30</v>
      </c>
      <c r="B31" s="1" t="s">
        <v>810</v>
      </c>
      <c r="D31" s="1">
        <f t="shared" si="4"/>
        <v>20</v>
      </c>
      <c r="E31" s="1" t="s">
        <v>8</v>
      </c>
      <c r="F31" s="3">
        <f>INDEX(people!$A$2:$A$300, MATCH(G31,people!$C$2:$C$300, 0))</f>
        <v>1980300018</v>
      </c>
      <c r="G31" s="17" t="s">
        <v>136</v>
      </c>
    </row>
    <row r="32" spans="1:7" x14ac:dyDescent="0.6">
      <c r="A32" s="2">
        <v>31</v>
      </c>
      <c r="B32" s="1" t="s">
        <v>859</v>
      </c>
      <c r="D32" s="1">
        <f>A13</f>
        <v>12</v>
      </c>
      <c r="E32" s="1" t="s">
        <v>8</v>
      </c>
      <c r="F32" s="3">
        <f>INDEX(people!$A$2:$A$300, MATCH(G32,people!$C$2:$C$300, 0))</f>
        <v>2980300154</v>
      </c>
      <c r="G32" s="18" t="s">
        <v>843</v>
      </c>
    </row>
    <row r="33" spans="1:7" x14ac:dyDescent="0.6">
      <c r="A33" s="2">
        <v>32</v>
      </c>
      <c r="B33" s="1" t="s">
        <v>859</v>
      </c>
      <c r="D33" s="1">
        <f>$A$32</f>
        <v>31</v>
      </c>
      <c r="E33" s="1" t="s">
        <v>8</v>
      </c>
      <c r="F33" s="3">
        <f>INDEX(people!$A$2:$A$300, MATCH(G33,people!$C$2:$C$300, 0))</f>
        <v>2020300019</v>
      </c>
      <c r="G33" s="18" t="s">
        <v>845</v>
      </c>
    </row>
    <row r="34" spans="1:7" x14ac:dyDescent="0.6">
      <c r="A34" s="2">
        <v>33</v>
      </c>
      <c r="B34" s="1" t="s">
        <v>859</v>
      </c>
      <c r="D34" s="1">
        <f t="shared" ref="D34:D37" si="5">$A$32</f>
        <v>31</v>
      </c>
      <c r="E34" s="1" t="s">
        <v>8</v>
      </c>
      <c r="F34" s="3">
        <f>INDEX(people!$A$2:$A$300, MATCH(G34,people!$C$2:$C$300, 0))</f>
        <v>2034800003</v>
      </c>
      <c r="G34" s="18" t="s">
        <v>849</v>
      </c>
    </row>
    <row r="35" spans="1:7" x14ac:dyDescent="0.6">
      <c r="A35" s="2">
        <v>34</v>
      </c>
      <c r="B35" s="1" t="s">
        <v>859</v>
      </c>
      <c r="D35" s="1">
        <f t="shared" si="5"/>
        <v>31</v>
      </c>
      <c r="E35" s="1" t="s">
        <v>8</v>
      </c>
      <c r="F35" s="3">
        <f>INDEX(people!$A$2:$A$300, MATCH(G35,people!$C$2:$C$300, 0))</f>
        <v>2980300083</v>
      </c>
      <c r="G35" s="18" t="s">
        <v>852</v>
      </c>
    </row>
    <row r="36" spans="1:7" x14ac:dyDescent="0.6">
      <c r="A36" s="2">
        <v>35</v>
      </c>
      <c r="B36" s="1" t="s">
        <v>859</v>
      </c>
      <c r="D36" s="1">
        <f t="shared" si="5"/>
        <v>31</v>
      </c>
      <c r="E36" s="1" t="s">
        <v>8</v>
      </c>
      <c r="F36" s="3">
        <f>INDEX(people!$A$2:$A$300, MATCH(G36,people!$C$2:$C$300, 0))</f>
        <v>1020300008</v>
      </c>
      <c r="G36" s="18" t="s">
        <v>855</v>
      </c>
    </row>
    <row r="37" spans="1:7" x14ac:dyDescent="0.6">
      <c r="A37" s="2">
        <v>36</v>
      </c>
      <c r="B37" s="1" t="s">
        <v>859</v>
      </c>
      <c r="D37" s="1">
        <f t="shared" si="5"/>
        <v>31</v>
      </c>
      <c r="E37" s="1" t="s">
        <v>8</v>
      </c>
      <c r="F37" s="3">
        <f>INDEX(people!$A$2:$A$300, MATCH(G37,people!$C$2:$C$300, 0))</f>
        <v>2980300081</v>
      </c>
      <c r="G37" s="18" t="s">
        <v>857</v>
      </c>
    </row>
    <row r="38" spans="1:7" x14ac:dyDescent="0.6">
      <c r="A38" s="2">
        <v>37</v>
      </c>
      <c r="B38" s="1" t="s">
        <v>404</v>
      </c>
      <c r="C38" s="1" t="s">
        <v>7</v>
      </c>
      <c r="D38" s="1">
        <f>A3</f>
        <v>2</v>
      </c>
      <c r="E38" s="1" t="s">
        <v>8</v>
      </c>
      <c r="F38" s="3">
        <f>INDEX(people!$A$2:$A$300, MATCH(G38,people!$C$2:$C$300, 0))</f>
        <v>2680300182</v>
      </c>
      <c r="G38" s="1" t="s">
        <v>108</v>
      </c>
    </row>
    <row r="39" spans="1:7" x14ac:dyDescent="0.6">
      <c r="A39" s="2">
        <v>38</v>
      </c>
      <c r="B39" s="1" t="s">
        <v>405</v>
      </c>
      <c r="C39" s="1" t="s">
        <v>7</v>
      </c>
      <c r="D39" s="1">
        <f>A38</f>
        <v>37</v>
      </c>
      <c r="E39" s="1" t="s">
        <v>8</v>
      </c>
      <c r="F39" s="3">
        <f>INDEX(people!$A$2:$A$300, MATCH(G39,people!$C$2:$C$300, 0))</f>
        <v>1960300210</v>
      </c>
      <c r="G39" s="1" t="s">
        <v>113</v>
      </c>
    </row>
    <row r="40" spans="1:7" x14ac:dyDescent="0.6">
      <c r="A40" s="2">
        <v>39</v>
      </c>
      <c r="B40" s="1" t="s">
        <v>141</v>
      </c>
      <c r="D40" s="1">
        <f>A39</f>
        <v>38</v>
      </c>
      <c r="E40" s="1" t="s">
        <v>8</v>
      </c>
      <c r="F40" s="3">
        <f>INDEX(people!$A$2:$A$300, MATCH(G40,people!$C$2:$C$300, 0))</f>
        <v>1680300331</v>
      </c>
      <c r="G40" s="1" t="s">
        <v>23</v>
      </c>
    </row>
    <row r="41" spans="1:7" x14ac:dyDescent="0.6">
      <c r="A41" s="2">
        <v>40</v>
      </c>
      <c r="B41" s="1" t="s">
        <v>141</v>
      </c>
      <c r="D41" s="1">
        <f>A39</f>
        <v>38</v>
      </c>
      <c r="E41" s="1" t="s">
        <v>8</v>
      </c>
      <c r="F41" s="3">
        <f>INDEX(people!$A$2:$A$300, MATCH(G41,people!$C$2:$C$300, 0))</f>
        <v>2800300234</v>
      </c>
      <c r="G41" s="1" t="s">
        <v>116</v>
      </c>
    </row>
    <row r="42" spans="1:7" x14ac:dyDescent="0.6">
      <c r="A42" s="2">
        <v>41</v>
      </c>
      <c r="B42" s="1" t="s">
        <v>141</v>
      </c>
      <c r="D42" s="1">
        <f>A39</f>
        <v>38</v>
      </c>
      <c r="E42" s="1" t="s">
        <v>8</v>
      </c>
      <c r="F42" s="3">
        <f>INDEX(people!$A$2:$A$300, MATCH(G42,people!$C$2:$C$300, 0))</f>
        <v>1680300355</v>
      </c>
      <c r="G42" s="1" t="s">
        <v>114</v>
      </c>
    </row>
    <row r="43" spans="1:7" x14ac:dyDescent="0.6">
      <c r="A43" s="2">
        <v>42</v>
      </c>
      <c r="B43" s="1" t="s">
        <v>141</v>
      </c>
      <c r="D43" s="1">
        <f>A39</f>
        <v>38</v>
      </c>
      <c r="E43" s="1" t="s">
        <v>8</v>
      </c>
      <c r="F43" s="3">
        <f>INDEX(people!$A$2:$A$300, MATCH(G43,people!$C$2:$C$300, 0))</f>
        <v>2800300061</v>
      </c>
      <c r="G43" s="1" t="s">
        <v>97</v>
      </c>
    </row>
    <row r="44" spans="1:7" x14ac:dyDescent="0.6">
      <c r="A44" s="2">
        <v>43</v>
      </c>
      <c r="B44" s="1" t="s">
        <v>877</v>
      </c>
      <c r="D44" s="1">
        <f>A39</f>
        <v>38</v>
      </c>
      <c r="E44" s="1" t="s">
        <v>8</v>
      </c>
      <c r="F44" s="3">
        <f>INDEX(people!$A$2:$A$300, MATCH(G44,people!$C$2:$C$300, 0))</f>
        <v>100001</v>
      </c>
      <c r="G44" s="1" t="s">
        <v>119</v>
      </c>
    </row>
    <row r="45" spans="1:7" x14ac:dyDescent="0.6">
      <c r="A45" s="2">
        <v>44</v>
      </c>
      <c r="B45" s="1" t="s">
        <v>877</v>
      </c>
      <c r="D45" s="1">
        <f>A39</f>
        <v>38</v>
      </c>
      <c r="E45" s="1" t="s">
        <v>8</v>
      </c>
      <c r="F45" s="3">
        <f>INDEX(people!$A$2:$A$300, MATCH(G45,people!$C$2:$C$300, 0))</f>
        <v>100002</v>
      </c>
      <c r="G45" s="1" t="s">
        <v>140</v>
      </c>
    </row>
    <row r="46" spans="1:7" x14ac:dyDescent="0.6">
      <c r="A46" s="2">
        <v>45</v>
      </c>
      <c r="B46" s="1" t="s">
        <v>406</v>
      </c>
      <c r="D46" s="1">
        <f>A3</f>
        <v>2</v>
      </c>
      <c r="E46" s="1" t="s">
        <v>8</v>
      </c>
      <c r="F46" s="3">
        <f>INDEX(people!$A$2:$A$300, MATCH(G46,people!$C$2:$C$300, 0))</f>
        <v>1800300530</v>
      </c>
      <c r="G46" s="1" t="s">
        <v>21</v>
      </c>
    </row>
    <row r="47" spans="1:7" x14ac:dyDescent="0.6">
      <c r="A47" s="2">
        <v>46</v>
      </c>
      <c r="B47" s="1" t="s">
        <v>407</v>
      </c>
      <c r="D47" s="1">
        <f>A46</f>
        <v>45</v>
      </c>
      <c r="E47" s="1" t="s">
        <v>8</v>
      </c>
      <c r="F47" s="3">
        <f>INDEX(people!$A$2:$A$300, MATCH(G47,people!$C$2:$C$300, 0))</f>
        <v>1860300283</v>
      </c>
      <c r="G47" s="1" t="s">
        <v>690</v>
      </c>
    </row>
    <row r="48" spans="1:7" x14ac:dyDescent="0.6">
      <c r="A48" s="2">
        <v>47</v>
      </c>
      <c r="B48" s="1" t="s">
        <v>141</v>
      </c>
      <c r="D48" s="1">
        <f>$A$47</f>
        <v>46</v>
      </c>
      <c r="E48" s="1" t="s">
        <v>8</v>
      </c>
      <c r="F48" s="3">
        <f>INDEX(people!$A$2:$A$300, MATCH(G48,people!$C$2:$C$300, 0))</f>
        <v>1920300193</v>
      </c>
      <c r="G48" s="1" t="s">
        <v>52</v>
      </c>
    </row>
    <row r="49" spans="1:7" x14ac:dyDescent="0.6">
      <c r="A49" s="2">
        <v>48</v>
      </c>
      <c r="B49" s="1" t="s">
        <v>141</v>
      </c>
      <c r="D49" s="1">
        <f t="shared" ref="D49:D52" si="6">$A$47</f>
        <v>46</v>
      </c>
      <c r="E49" s="1" t="s">
        <v>8</v>
      </c>
      <c r="F49" s="3">
        <f>INDEX(people!$A$2:$A$300, MATCH(G49,people!$C$2:$C$300, 0))</f>
        <v>1690300349</v>
      </c>
      <c r="G49" s="1" t="s">
        <v>109</v>
      </c>
    </row>
    <row r="50" spans="1:7" x14ac:dyDescent="0.6">
      <c r="A50" s="2">
        <v>49</v>
      </c>
      <c r="B50" s="1" t="s">
        <v>141</v>
      </c>
      <c r="D50" s="1">
        <f t="shared" si="6"/>
        <v>46</v>
      </c>
      <c r="E50" s="1" t="s">
        <v>8</v>
      </c>
      <c r="F50" s="3">
        <f>INDEX(people!$A$2:$A$300, MATCH(G50,people!$C$2:$C$300, 0))</f>
        <v>2680300154</v>
      </c>
      <c r="G50" s="1" t="s">
        <v>22</v>
      </c>
    </row>
    <row r="51" spans="1:7" x14ac:dyDescent="0.6">
      <c r="A51" s="2">
        <v>50</v>
      </c>
      <c r="B51" s="1" t="s">
        <v>141</v>
      </c>
      <c r="D51" s="1">
        <f t="shared" si="6"/>
        <v>46</v>
      </c>
      <c r="E51" s="1" t="s">
        <v>8</v>
      </c>
      <c r="F51" s="3">
        <f>INDEX(people!$A$2:$A$300, MATCH(G51,people!$C$2:$C$300, 0))</f>
        <v>2980300364</v>
      </c>
      <c r="G51" s="1" t="s">
        <v>41</v>
      </c>
    </row>
    <row r="52" spans="1:7" x14ac:dyDescent="0.6">
      <c r="A52" s="2">
        <v>51</v>
      </c>
      <c r="B52" s="1" t="s">
        <v>141</v>
      </c>
      <c r="D52" s="1">
        <f t="shared" si="6"/>
        <v>46</v>
      </c>
      <c r="E52" s="1" t="s">
        <v>8</v>
      </c>
      <c r="F52" s="3">
        <f>INDEX(people!$A$2:$A$300, MATCH(G52,people!$C$2:$C$300, 0))</f>
        <v>1830300210</v>
      </c>
      <c r="G52" s="1" t="s">
        <v>44</v>
      </c>
    </row>
    <row r="53" spans="1:7" x14ac:dyDescent="0.6">
      <c r="A53" s="2">
        <v>52</v>
      </c>
      <c r="B53" s="1" t="s">
        <v>408</v>
      </c>
      <c r="D53" s="1">
        <f>A4</f>
        <v>3</v>
      </c>
      <c r="E53" s="1" t="s">
        <v>8</v>
      </c>
      <c r="F53" s="3">
        <f>INDEX(people!$A$2:$A$300, MATCH(G53,people!$C$2:$C$300, 0))</f>
        <v>1750300438</v>
      </c>
      <c r="G53" s="1" t="s">
        <v>24</v>
      </c>
    </row>
    <row r="54" spans="1:7" x14ac:dyDescent="0.6">
      <c r="A54" s="2">
        <v>53</v>
      </c>
      <c r="B54" s="1" t="s">
        <v>409</v>
      </c>
      <c r="D54" s="1">
        <f>A53</f>
        <v>52</v>
      </c>
      <c r="E54" s="1" t="s">
        <v>8</v>
      </c>
      <c r="F54" s="3">
        <f>INDEX(people!$A$2:$A$300, MATCH(G54,people!$C$2:$C$300, 0))</f>
        <v>1890700240</v>
      </c>
      <c r="G54" s="1" t="s">
        <v>31</v>
      </c>
    </row>
    <row r="55" spans="1:7" x14ac:dyDescent="0.6">
      <c r="A55" s="2">
        <v>54</v>
      </c>
      <c r="B55" s="1" t="s">
        <v>409</v>
      </c>
      <c r="D55" s="1">
        <f>A53</f>
        <v>52</v>
      </c>
      <c r="E55" s="1" t="s">
        <v>8</v>
      </c>
      <c r="F55" s="3">
        <f>INDEX(people!$A$2:$A$300, MATCH(G55,people!$C$2:$C$300, 0))</f>
        <v>1831200363</v>
      </c>
      <c r="G55" s="1" t="s">
        <v>82</v>
      </c>
    </row>
    <row r="56" spans="1:7" x14ac:dyDescent="0.6">
      <c r="A56" s="2">
        <v>55</v>
      </c>
      <c r="B56" s="1" t="s">
        <v>141</v>
      </c>
      <c r="D56" s="1">
        <f>A54</f>
        <v>53</v>
      </c>
      <c r="E56" s="1" t="s">
        <v>8</v>
      </c>
      <c r="F56" s="3">
        <f>INDEX(people!$A$2:$A$300, MATCH(G56,people!$C$2:$C$300, 0))</f>
        <v>1690300603</v>
      </c>
      <c r="G56" s="1" t="s">
        <v>107</v>
      </c>
    </row>
    <row r="57" spans="1:7" x14ac:dyDescent="0.6">
      <c r="A57" s="2">
        <v>56</v>
      </c>
      <c r="B57" s="1" t="s">
        <v>141</v>
      </c>
      <c r="D57" s="1">
        <f>$A$55</f>
        <v>54</v>
      </c>
      <c r="E57" s="1" t="s">
        <v>8</v>
      </c>
      <c r="F57" s="3">
        <f>INDEX(people!$A$2:$A$300, MATCH(G57,people!$C$2:$C$300, 0))</f>
        <v>2720300109</v>
      </c>
      <c r="G57" s="1" t="s">
        <v>27</v>
      </c>
    </row>
    <row r="58" spans="1:7" x14ac:dyDescent="0.6">
      <c r="A58" s="2">
        <v>57</v>
      </c>
      <c r="B58" s="1" t="s">
        <v>141</v>
      </c>
      <c r="D58" s="1">
        <f t="shared" ref="D58:D60" si="7">$A$55</f>
        <v>54</v>
      </c>
      <c r="E58" s="1" t="s">
        <v>8</v>
      </c>
      <c r="F58" s="3">
        <f>INDEX(people!$A$2:$A$300, MATCH(G58,people!$C$2:$C$300, 0))</f>
        <v>2670300101</v>
      </c>
      <c r="G58" s="1" t="s">
        <v>29</v>
      </c>
    </row>
    <row r="59" spans="1:7" x14ac:dyDescent="0.6">
      <c r="A59" s="2">
        <v>58</v>
      </c>
      <c r="B59" s="1" t="s">
        <v>141</v>
      </c>
      <c r="D59" s="1">
        <f t="shared" si="7"/>
        <v>54</v>
      </c>
      <c r="E59" s="1" t="s">
        <v>8</v>
      </c>
      <c r="F59" s="3">
        <f>INDEX(people!$A$2:$A$300, MATCH(G59,people!$C$2:$C$300, 0))</f>
        <v>1660300189</v>
      </c>
      <c r="G59" s="1" t="s">
        <v>28</v>
      </c>
    </row>
    <row r="60" spans="1:7" x14ac:dyDescent="0.6">
      <c r="A60" s="2">
        <v>59</v>
      </c>
      <c r="B60" s="1" t="s">
        <v>141</v>
      </c>
      <c r="D60" s="1">
        <f t="shared" si="7"/>
        <v>54</v>
      </c>
      <c r="E60" s="1" t="s">
        <v>8</v>
      </c>
      <c r="F60" s="3">
        <f>INDEX(people!$A$2:$A$300, MATCH(G60,people!$C$2:$C$300, 0))</f>
        <v>1790300234</v>
      </c>
      <c r="G60" s="1" t="s">
        <v>25</v>
      </c>
    </row>
    <row r="61" spans="1:7" x14ac:dyDescent="0.6">
      <c r="A61" s="2">
        <v>60</v>
      </c>
      <c r="B61" s="1" t="s">
        <v>410</v>
      </c>
      <c r="D61" s="1">
        <f>A4</f>
        <v>3</v>
      </c>
      <c r="E61" s="1" t="s">
        <v>8</v>
      </c>
      <c r="F61" s="3">
        <f>INDEX(people!$A$2:$A$300, MATCH(G61,people!$C$2:$C$300, 0))</f>
        <v>1830300209</v>
      </c>
      <c r="G61" s="1" t="s">
        <v>33</v>
      </c>
    </row>
    <row r="62" spans="1:7" x14ac:dyDescent="0.6">
      <c r="A62" s="2">
        <v>61</v>
      </c>
      <c r="B62" s="1" t="s">
        <v>411</v>
      </c>
      <c r="D62" s="1">
        <f>A61</f>
        <v>60</v>
      </c>
      <c r="E62" s="1" t="s">
        <v>8</v>
      </c>
      <c r="F62" s="3">
        <f>INDEX(people!$A$2:$A$300, MATCH(G62,people!$C$2:$C$300, 0))</f>
        <v>1690300388</v>
      </c>
      <c r="G62" s="1" t="s">
        <v>95</v>
      </c>
    </row>
    <row r="63" spans="1:7" x14ac:dyDescent="0.6">
      <c r="A63" s="2">
        <v>62</v>
      </c>
      <c r="B63" s="1" t="s">
        <v>412</v>
      </c>
      <c r="D63" s="1">
        <f>A53</f>
        <v>52</v>
      </c>
      <c r="E63" s="1" t="s">
        <v>8</v>
      </c>
      <c r="F63" s="3">
        <f>INDEX(people!$A$2:$A$300, MATCH(G63,people!$C$2:$C$300, 0))</f>
        <v>1820300233</v>
      </c>
      <c r="G63" s="1" t="s">
        <v>30</v>
      </c>
    </row>
    <row r="64" spans="1:7" x14ac:dyDescent="0.6">
      <c r="A64" s="2">
        <v>63</v>
      </c>
      <c r="B64" s="1" t="s">
        <v>413</v>
      </c>
      <c r="D64" s="1">
        <f>A53</f>
        <v>52</v>
      </c>
      <c r="E64" s="1" t="s">
        <v>8</v>
      </c>
      <c r="F64" s="3">
        <f>INDEX(people!$A$2:$A$300, MATCH(G64,people!$C$2:$C$300, 0))</f>
        <v>1670300249</v>
      </c>
      <c r="G64" s="1" t="s">
        <v>55</v>
      </c>
    </row>
    <row r="65" spans="1:7" x14ac:dyDescent="0.6">
      <c r="A65" s="2">
        <v>64</v>
      </c>
      <c r="B65" s="1" t="s">
        <v>415</v>
      </c>
      <c r="D65" s="1">
        <f>$A$64</f>
        <v>63</v>
      </c>
      <c r="E65" s="1" t="s">
        <v>8</v>
      </c>
      <c r="F65" s="3">
        <f>INDEX(people!$A$2:$A$300, MATCH(G65,people!$C$2:$C$300, 0))</f>
        <v>1820300058</v>
      </c>
      <c r="G65" s="1" t="s">
        <v>60</v>
      </c>
    </row>
    <row r="66" spans="1:7" x14ac:dyDescent="0.6">
      <c r="A66" s="2">
        <v>65</v>
      </c>
      <c r="B66" s="1" t="s">
        <v>432</v>
      </c>
      <c r="D66" s="1">
        <f t="shared" ref="D66:D69" si="8">$A$64</f>
        <v>63</v>
      </c>
      <c r="E66" s="1" t="s">
        <v>8</v>
      </c>
      <c r="F66" s="3">
        <f>INDEX(people!$A$2:$A$300, MATCH(G66,people!$C$2:$C$300, 0))</f>
        <v>2890300162</v>
      </c>
      <c r="G66" s="1" t="s">
        <v>47</v>
      </c>
    </row>
    <row r="67" spans="1:7" x14ac:dyDescent="0.6">
      <c r="A67" s="2">
        <v>66</v>
      </c>
      <c r="B67" s="1" t="s">
        <v>416</v>
      </c>
      <c r="D67" s="1">
        <f t="shared" si="8"/>
        <v>63</v>
      </c>
      <c r="E67" s="1" t="s">
        <v>8</v>
      </c>
      <c r="F67" s="3">
        <f>INDEX(people!$A$2:$A$300, MATCH(G67,people!$C$2:$C$300, 0))</f>
        <v>1850300085</v>
      </c>
      <c r="G67" s="1" t="s">
        <v>88</v>
      </c>
    </row>
    <row r="68" spans="1:7" x14ac:dyDescent="0.6">
      <c r="A68" s="2">
        <v>67</v>
      </c>
      <c r="B68" s="1" t="s">
        <v>417</v>
      </c>
      <c r="D68" s="1">
        <f t="shared" si="8"/>
        <v>63</v>
      </c>
      <c r="E68" s="1" t="s">
        <v>8</v>
      </c>
      <c r="F68" s="3">
        <f>INDEX(people!$A$2:$A$300, MATCH(G68,people!$C$2:$C$300, 0))</f>
        <v>1872100269</v>
      </c>
      <c r="G68" s="1" t="s">
        <v>65</v>
      </c>
    </row>
    <row r="69" spans="1:7" x14ac:dyDescent="0.6">
      <c r="A69" s="2">
        <v>68</v>
      </c>
      <c r="B69" s="1" t="s">
        <v>418</v>
      </c>
      <c r="D69" s="1">
        <f t="shared" si="8"/>
        <v>63</v>
      </c>
      <c r="E69" s="1" t="s">
        <v>8</v>
      </c>
      <c r="F69" s="3">
        <f>INDEX(people!$A$2:$A$300, MATCH(G69,people!$C$2:$C$300, 0))</f>
        <v>1930700107</v>
      </c>
      <c r="G69" s="1" t="s">
        <v>76</v>
      </c>
    </row>
    <row r="70" spans="1:7" x14ac:dyDescent="0.6">
      <c r="A70" s="2">
        <v>69</v>
      </c>
      <c r="B70" s="1" t="s">
        <v>414</v>
      </c>
      <c r="D70" s="1">
        <f>A53</f>
        <v>52</v>
      </c>
      <c r="E70" s="1" t="s">
        <v>8</v>
      </c>
      <c r="F70" s="3">
        <f>INDEX(people!$A$2:$A$300, MATCH(G70,people!$C$2:$C$300, 0))</f>
        <v>1920300331</v>
      </c>
      <c r="G70" s="1" t="s">
        <v>69</v>
      </c>
    </row>
    <row r="71" spans="1:7" x14ac:dyDescent="0.6">
      <c r="A71" s="2">
        <v>70</v>
      </c>
      <c r="B71" s="1" t="s">
        <v>419</v>
      </c>
      <c r="D71" s="1">
        <f>$A$70</f>
        <v>69</v>
      </c>
      <c r="E71" s="1" t="s">
        <v>8</v>
      </c>
      <c r="F71" s="3">
        <f>INDEX(people!$A$2:$A$300, MATCH(G71,people!$C$2:$C$300, 0))</f>
        <v>1904800001</v>
      </c>
      <c r="G71" s="1" t="s">
        <v>70</v>
      </c>
    </row>
    <row r="72" spans="1:7" x14ac:dyDescent="0.6">
      <c r="A72" s="2">
        <v>71</v>
      </c>
      <c r="B72" s="1" t="s">
        <v>420</v>
      </c>
      <c r="D72" s="1">
        <f t="shared" ref="D72:D73" si="9">$A$70</f>
        <v>69</v>
      </c>
      <c r="E72" s="1" t="s">
        <v>8</v>
      </c>
      <c r="F72" s="3">
        <f>INDEX(people!$A$2:$A$300, MATCH(G72,people!$C$2:$C$300, 0))</f>
        <v>2930300307</v>
      </c>
      <c r="G72" s="1" t="s">
        <v>54</v>
      </c>
    </row>
    <row r="73" spans="1:7" x14ac:dyDescent="0.6">
      <c r="A73" s="2">
        <v>72</v>
      </c>
      <c r="B73" s="1" t="s">
        <v>418</v>
      </c>
      <c r="D73" s="1">
        <f t="shared" si="9"/>
        <v>69</v>
      </c>
      <c r="E73" s="1" t="s">
        <v>8</v>
      </c>
      <c r="F73" s="3">
        <f>INDEX(people!$A$2:$A$300, MATCH(G73,people!$C$2:$C$300, 0))</f>
        <v>2820300049</v>
      </c>
      <c r="G73" s="1" t="s">
        <v>26</v>
      </c>
    </row>
    <row r="74" spans="1:7" x14ac:dyDescent="0.6">
      <c r="A74" s="2">
        <v>73</v>
      </c>
      <c r="B74" s="1" t="s">
        <v>421</v>
      </c>
      <c r="D74" s="1">
        <f>A63</f>
        <v>62</v>
      </c>
      <c r="E74" s="1" t="s">
        <v>8</v>
      </c>
      <c r="F74" s="3">
        <f>INDEX(people!$A$2:$A$300, MATCH(G74,people!$C$2:$C$300, 0))</f>
        <v>1901200129</v>
      </c>
      <c r="G74" s="1" t="s">
        <v>84</v>
      </c>
    </row>
    <row r="75" spans="1:7" x14ac:dyDescent="0.6">
      <c r="A75" s="2">
        <v>74</v>
      </c>
      <c r="B75" s="1" t="s">
        <v>422</v>
      </c>
      <c r="D75" s="1">
        <f>A63</f>
        <v>62</v>
      </c>
      <c r="E75" s="1" t="s">
        <v>8</v>
      </c>
      <c r="F75" s="3">
        <f>INDEX(people!$A$2:$A$300, MATCH(G75,people!$C$2:$C$300, 0))</f>
        <v>1840300188</v>
      </c>
      <c r="G75" s="1" t="s">
        <v>38</v>
      </c>
    </row>
    <row r="76" spans="1:7" x14ac:dyDescent="0.6">
      <c r="A76" s="2">
        <v>75</v>
      </c>
      <c r="B76" s="1" t="s">
        <v>423</v>
      </c>
      <c r="D76" s="1">
        <f>$A$74</f>
        <v>73</v>
      </c>
      <c r="E76" s="1" t="s">
        <v>143</v>
      </c>
      <c r="F76" s="3">
        <f>INDEX(people!$A$2:$A$300, MATCH(G76,people!$C$2:$C$300, 0))</f>
        <v>1990300147</v>
      </c>
      <c r="G76" s="1" t="s">
        <v>118</v>
      </c>
    </row>
    <row r="77" spans="1:7" x14ac:dyDescent="0.6">
      <c r="A77" s="2">
        <v>76</v>
      </c>
      <c r="B77" s="1" t="s">
        <v>423</v>
      </c>
      <c r="D77" s="1">
        <f t="shared" ref="D77:D80" si="10">$A$74</f>
        <v>73</v>
      </c>
      <c r="E77" s="1" t="s">
        <v>143</v>
      </c>
      <c r="F77" s="3">
        <f>INDEX(people!$A$2:$A$300, MATCH(G77,people!$C$2:$C$300, 0))</f>
        <v>2870300243</v>
      </c>
      <c r="G77" s="1" t="s">
        <v>32</v>
      </c>
    </row>
    <row r="78" spans="1:7" x14ac:dyDescent="0.6">
      <c r="A78" s="2">
        <v>77</v>
      </c>
      <c r="B78" s="1" t="s">
        <v>144</v>
      </c>
      <c r="D78" s="1">
        <f t="shared" si="10"/>
        <v>73</v>
      </c>
      <c r="E78" s="1" t="s">
        <v>8</v>
      </c>
      <c r="F78" s="3">
        <f>INDEX(people!$A$2:$A$300, MATCH(G78,people!$C$2:$C$300, 0))</f>
        <v>1690300322</v>
      </c>
      <c r="G78" s="1" t="s">
        <v>99</v>
      </c>
    </row>
    <row r="79" spans="1:7" x14ac:dyDescent="0.6">
      <c r="A79" s="2">
        <v>78</v>
      </c>
      <c r="B79" s="1" t="s">
        <v>144</v>
      </c>
      <c r="D79" s="1">
        <f t="shared" si="10"/>
        <v>73</v>
      </c>
      <c r="E79" s="1" t="s">
        <v>8</v>
      </c>
      <c r="F79" s="3">
        <f>INDEX(people!$A$2:$A$300, MATCH(G79,people!$C$2:$C$300, 0))</f>
        <v>1690300442</v>
      </c>
      <c r="G79" s="1" t="s">
        <v>96</v>
      </c>
    </row>
    <row r="80" spans="1:7" x14ac:dyDescent="0.6">
      <c r="A80" s="2">
        <v>79</v>
      </c>
      <c r="B80" s="1" t="s">
        <v>144</v>
      </c>
      <c r="D80" s="1">
        <f t="shared" si="10"/>
        <v>73</v>
      </c>
      <c r="E80" s="1" t="s">
        <v>8</v>
      </c>
      <c r="F80" s="3">
        <f>INDEX(people!$A$2:$A$300, MATCH(G80,people!$C$2:$C$300, 0))</f>
        <v>2820300034</v>
      </c>
      <c r="G80" s="1" t="s">
        <v>115</v>
      </c>
    </row>
    <row r="81" spans="1:7" x14ac:dyDescent="0.6">
      <c r="A81" s="2">
        <v>80</v>
      </c>
      <c r="B81" s="1" t="s">
        <v>424</v>
      </c>
      <c r="D81" s="1">
        <f t="shared" ref="D81:D88" si="11">$A$75</f>
        <v>74</v>
      </c>
      <c r="E81" s="1" t="s">
        <v>143</v>
      </c>
      <c r="F81" s="3">
        <f>INDEX(people!$A$2:$A$300, MATCH(G81,people!$C$2:$C$300, 0))</f>
        <v>2900300246</v>
      </c>
      <c r="G81" s="1" t="s">
        <v>36</v>
      </c>
    </row>
    <row r="82" spans="1:7" x14ac:dyDescent="0.6">
      <c r="A82" s="2">
        <v>81</v>
      </c>
      <c r="B82" s="1" t="s">
        <v>424</v>
      </c>
      <c r="D82" s="1">
        <f t="shared" si="11"/>
        <v>74</v>
      </c>
      <c r="E82" s="1" t="s">
        <v>143</v>
      </c>
      <c r="F82" s="3">
        <f>INDEX(people!$A$2:$A$300, MATCH(G82,people!$C$2:$C$300, 0))</f>
        <v>2871400116</v>
      </c>
      <c r="G82" s="1" t="s">
        <v>89</v>
      </c>
    </row>
    <row r="83" spans="1:7" x14ac:dyDescent="0.6">
      <c r="A83" s="2">
        <v>82</v>
      </c>
      <c r="B83" s="1" t="s">
        <v>145</v>
      </c>
      <c r="D83" s="1">
        <f t="shared" si="11"/>
        <v>74</v>
      </c>
      <c r="E83" s="1" t="s">
        <v>8</v>
      </c>
      <c r="F83" s="3">
        <f>INDEX(people!$A$2:$A$300, MATCH(G83,people!$C$2:$C$300, 0))</f>
        <v>2870300253</v>
      </c>
      <c r="G83" s="1" t="s">
        <v>35</v>
      </c>
    </row>
    <row r="84" spans="1:7" x14ac:dyDescent="0.6">
      <c r="A84" s="2">
        <v>83</v>
      </c>
      <c r="B84" s="1" t="s">
        <v>145</v>
      </c>
      <c r="D84" s="1">
        <f t="shared" si="11"/>
        <v>74</v>
      </c>
      <c r="E84" s="1" t="s">
        <v>8</v>
      </c>
      <c r="F84" s="3">
        <f>INDEX(people!$A$2:$A$300, MATCH(G84,people!$C$2:$C$300, 0))</f>
        <v>2990300274</v>
      </c>
      <c r="G84" s="1" t="s">
        <v>37</v>
      </c>
    </row>
    <row r="85" spans="1:7" x14ac:dyDescent="0.6">
      <c r="A85" s="2">
        <v>84</v>
      </c>
      <c r="B85" s="1" t="s">
        <v>145</v>
      </c>
      <c r="D85" s="1">
        <f t="shared" si="11"/>
        <v>74</v>
      </c>
      <c r="E85" s="1" t="s">
        <v>8</v>
      </c>
      <c r="F85" s="3">
        <f>INDEX(people!$A$2:$A$300, MATCH(G85,people!$C$2:$C$300, 0))</f>
        <v>2870300157</v>
      </c>
      <c r="G85" s="1" t="s">
        <v>105</v>
      </c>
    </row>
    <row r="86" spans="1:7" x14ac:dyDescent="0.6">
      <c r="A86" s="2">
        <v>85</v>
      </c>
      <c r="B86" s="1" t="s">
        <v>145</v>
      </c>
      <c r="D86" s="1">
        <f t="shared" si="11"/>
        <v>74</v>
      </c>
      <c r="E86" s="1" t="s">
        <v>8</v>
      </c>
      <c r="F86" s="3">
        <f>INDEX(people!$A$2:$A$300, MATCH(G86,people!$C$2:$C$300, 0))</f>
        <v>2680300173</v>
      </c>
      <c r="G86" s="1" t="s">
        <v>81</v>
      </c>
    </row>
    <row r="87" spans="1:7" x14ac:dyDescent="0.6">
      <c r="A87" s="2">
        <v>86</v>
      </c>
      <c r="B87" s="1" t="s">
        <v>145</v>
      </c>
      <c r="D87" s="1">
        <f t="shared" si="11"/>
        <v>74</v>
      </c>
      <c r="E87" s="1" t="s">
        <v>8</v>
      </c>
      <c r="F87" s="3">
        <f>INDEX(people!$A$2:$A$300, MATCH(G87,people!$C$2:$C$300, 0))</f>
        <v>2810300213</v>
      </c>
      <c r="G87" s="1" t="s">
        <v>39</v>
      </c>
    </row>
    <row r="88" spans="1:7" x14ac:dyDescent="0.6">
      <c r="A88" s="2">
        <v>87</v>
      </c>
      <c r="B88" s="1" t="s">
        <v>145</v>
      </c>
      <c r="D88" s="1">
        <f t="shared" si="11"/>
        <v>74</v>
      </c>
      <c r="E88" s="1" t="s">
        <v>8</v>
      </c>
      <c r="F88" s="3">
        <f>INDEX(people!$A$2:$A$300, MATCH(G88,people!$C$2:$C$300, 0))</f>
        <v>2930300439</v>
      </c>
      <c r="G88" s="1" t="s">
        <v>34</v>
      </c>
    </row>
    <row r="89" spans="1:7" x14ac:dyDescent="0.6">
      <c r="A89" s="2">
        <v>88</v>
      </c>
      <c r="B89" s="1" t="s">
        <v>425</v>
      </c>
      <c r="D89" s="1">
        <f>$A$65</f>
        <v>64</v>
      </c>
      <c r="E89" s="1" t="s">
        <v>143</v>
      </c>
      <c r="F89" s="3">
        <f>INDEX(people!$A$2:$A$300, MATCH(G89,people!$C$2:$C$300, 0))</f>
        <v>2800300262</v>
      </c>
      <c r="G89" s="1" t="s">
        <v>57</v>
      </c>
    </row>
    <row r="90" spans="1:7" x14ac:dyDescent="0.6">
      <c r="A90" s="2">
        <v>89</v>
      </c>
      <c r="B90" s="1" t="s">
        <v>425</v>
      </c>
      <c r="D90" s="1">
        <f t="shared" ref="D90:D98" si="12">$A$65</f>
        <v>64</v>
      </c>
      <c r="E90" s="1" t="s">
        <v>143</v>
      </c>
      <c r="F90" s="3">
        <f>INDEX(people!$A$2:$A$300, MATCH(G90,people!$C$2:$C$300, 0))</f>
        <v>2830300017</v>
      </c>
      <c r="G90" s="1" t="s">
        <v>83</v>
      </c>
    </row>
    <row r="91" spans="1:7" x14ac:dyDescent="0.6">
      <c r="A91" s="2">
        <v>90</v>
      </c>
      <c r="B91" s="1" t="s">
        <v>146</v>
      </c>
      <c r="D91" s="1">
        <f t="shared" si="12"/>
        <v>64</v>
      </c>
      <c r="E91" s="1" t="s">
        <v>8</v>
      </c>
      <c r="F91" s="3">
        <f>INDEX(people!$A$2:$A$300, MATCH(G91,people!$C$2:$C$300, 0))</f>
        <v>2750300112</v>
      </c>
      <c r="G91" s="1" t="s">
        <v>56</v>
      </c>
    </row>
    <row r="92" spans="1:7" x14ac:dyDescent="0.6">
      <c r="A92" s="2">
        <v>91</v>
      </c>
      <c r="B92" s="1" t="s">
        <v>146</v>
      </c>
      <c r="D92" s="1">
        <f t="shared" si="12"/>
        <v>64</v>
      </c>
      <c r="E92" s="1" t="s">
        <v>8</v>
      </c>
      <c r="F92" s="3">
        <f>INDEX(people!$A$2:$A$300, MATCH(G92,people!$C$2:$C$300, 0))</f>
        <v>1840300118</v>
      </c>
      <c r="G92" s="1" t="s">
        <v>58</v>
      </c>
    </row>
    <row r="93" spans="1:7" x14ac:dyDescent="0.6">
      <c r="A93" s="2">
        <v>92</v>
      </c>
      <c r="B93" s="1" t="s">
        <v>146</v>
      </c>
      <c r="D93" s="1">
        <f t="shared" si="12"/>
        <v>64</v>
      </c>
      <c r="E93" s="1" t="s">
        <v>8</v>
      </c>
      <c r="F93" s="3">
        <f>INDEX(people!$A$2:$A$300, MATCH(G93,people!$C$2:$C$300, 0))</f>
        <v>1840600176</v>
      </c>
      <c r="G93" s="1" t="s">
        <v>59</v>
      </c>
    </row>
    <row r="94" spans="1:7" x14ac:dyDescent="0.6">
      <c r="A94" s="2">
        <v>93</v>
      </c>
      <c r="B94" s="1" t="s">
        <v>146</v>
      </c>
      <c r="D94" s="1">
        <f t="shared" si="12"/>
        <v>64</v>
      </c>
      <c r="E94" s="1" t="s">
        <v>8</v>
      </c>
      <c r="F94" s="3">
        <f>INDEX(people!$A$2:$A$300, MATCH(G94,people!$C$2:$C$300, 0))</f>
        <v>1710300321</v>
      </c>
      <c r="G94" s="1" t="s">
        <v>61</v>
      </c>
    </row>
    <row r="95" spans="1:7" x14ac:dyDescent="0.6">
      <c r="A95" s="2">
        <v>94</v>
      </c>
      <c r="B95" s="1" t="s">
        <v>146</v>
      </c>
      <c r="D95" s="1">
        <f t="shared" si="12"/>
        <v>64</v>
      </c>
      <c r="E95" s="1" t="s">
        <v>8</v>
      </c>
      <c r="F95" s="3">
        <f>INDEX(people!$A$2:$A$300, MATCH(G95,people!$C$2:$C$300, 0))</f>
        <v>1820300041</v>
      </c>
      <c r="G95" s="1" t="s">
        <v>62</v>
      </c>
    </row>
    <row r="96" spans="1:7" x14ac:dyDescent="0.6">
      <c r="A96" s="2">
        <v>95</v>
      </c>
      <c r="B96" s="1" t="s">
        <v>146</v>
      </c>
      <c r="D96" s="1">
        <f t="shared" si="12"/>
        <v>64</v>
      </c>
      <c r="E96" s="1" t="s">
        <v>8</v>
      </c>
      <c r="F96" s="3">
        <f>INDEX(people!$A$2:$A$300, MATCH(G96,people!$C$2:$C$300, 0))</f>
        <v>2820300165</v>
      </c>
      <c r="G96" s="1" t="s">
        <v>63</v>
      </c>
    </row>
    <row r="97" spans="1:7" x14ac:dyDescent="0.6">
      <c r="A97" s="2">
        <v>96</v>
      </c>
      <c r="B97" s="1" t="s">
        <v>146</v>
      </c>
      <c r="D97" s="1">
        <f t="shared" si="12"/>
        <v>64</v>
      </c>
      <c r="E97" s="1" t="s">
        <v>8</v>
      </c>
      <c r="F97" s="3">
        <f>INDEX(people!$A$2:$A$300, MATCH(G97,people!$C$2:$C$300, 0))</f>
        <v>2780300027</v>
      </c>
      <c r="G97" s="1" t="s">
        <v>101</v>
      </c>
    </row>
    <row r="98" spans="1:7" x14ac:dyDescent="0.6">
      <c r="A98" s="2">
        <v>97</v>
      </c>
      <c r="B98" s="1" t="s">
        <v>146</v>
      </c>
      <c r="D98" s="1">
        <f t="shared" si="12"/>
        <v>64</v>
      </c>
      <c r="E98" s="1" t="s">
        <v>8</v>
      </c>
      <c r="F98" s="3">
        <f>INDEX(people!$A$2:$A$300, MATCH(G98,people!$C$2:$C$300, 0))</f>
        <v>2810300025</v>
      </c>
      <c r="G98" s="1" t="s">
        <v>102</v>
      </c>
    </row>
    <row r="99" spans="1:7" x14ac:dyDescent="0.6">
      <c r="A99" s="2">
        <v>98</v>
      </c>
      <c r="B99" s="1" t="s">
        <v>426</v>
      </c>
      <c r="D99" s="1">
        <f>$A$66</f>
        <v>65</v>
      </c>
      <c r="E99" s="1" t="s">
        <v>143</v>
      </c>
      <c r="F99" s="3">
        <f>INDEX(people!$A$2:$A$300, MATCH(G99,people!$C$2:$C$300, 0))</f>
        <v>1730300800</v>
      </c>
      <c r="G99" s="1" t="s">
        <v>46</v>
      </c>
    </row>
    <row r="100" spans="1:7" x14ac:dyDescent="0.6">
      <c r="A100" s="2">
        <v>99</v>
      </c>
      <c r="B100" s="1" t="s">
        <v>426</v>
      </c>
      <c r="D100" s="1">
        <f t="shared" ref="D100:D105" si="13">$A$66</f>
        <v>65</v>
      </c>
      <c r="E100" s="1" t="s">
        <v>143</v>
      </c>
      <c r="F100" s="3">
        <f>INDEX(people!$A$2:$A$300, MATCH(G100,people!$C$2:$C$300, 0))</f>
        <v>2900300321</v>
      </c>
      <c r="G100" s="1" t="s">
        <v>90</v>
      </c>
    </row>
    <row r="101" spans="1:7" x14ac:dyDescent="0.6">
      <c r="A101" s="2">
        <v>100</v>
      </c>
      <c r="B101" s="1" t="s">
        <v>147</v>
      </c>
      <c r="D101" s="1">
        <f t="shared" si="13"/>
        <v>65</v>
      </c>
      <c r="E101" s="1" t="s">
        <v>8</v>
      </c>
      <c r="F101" s="3">
        <f>INDEX(people!$A$2:$A$300, MATCH(G101,people!$C$2:$C$300, 0))</f>
        <v>2820800126</v>
      </c>
      <c r="G101" s="1" t="s">
        <v>48</v>
      </c>
    </row>
    <row r="102" spans="1:7" x14ac:dyDescent="0.6">
      <c r="A102" s="2">
        <v>101</v>
      </c>
      <c r="B102" s="1" t="s">
        <v>147</v>
      </c>
      <c r="D102" s="1">
        <f t="shared" si="13"/>
        <v>65</v>
      </c>
      <c r="E102" s="1" t="s">
        <v>8</v>
      </c>
      <c r="F102" s="3">
        <f>INDEX(people!$A$2:$A$300, MATCH(G102,people!$C$2:$C$300, 0))</f>
        <v>2670800184</v>
      </c>
      <c r="G102" s="1" t="s">
        <v>85</v>
      </c>
    </row>
    <row r="103" spans="1:7" x14ac:dyDescent="0.6">
      <c r="A103" s="2">
        <v>102</v>
      </c>
      <c r="B103" s="1" t="s">
        <v>147</v>
      </c>
      <c r="D103" s="1">
        <f t="shared" si="13"/>
        <v>65</v>
      </c>
      <c r="E103" s="1" t="s">
        <v>8</v>
      </c>
      <c r="F103" s="3">
        <f>INDEX(people!$A$2:$A$300, MATCH(G103,people!$C$2:$C$300, 0))</f>
        <v>2700300301</v>
      </c>
      <c r="G103" s="1" t="s">
        <v>98</v>
      </c>
    </row>
    <row r="104" spans="1:7" x14ac:dyDescent="0.6">
      <c r="A104" s="2">
        <v>103</v>
      </c>
      <c r="B104" s="1" t="s">
        <v>147</v>
      </c>
      <c r="D104" s="1">
        <f t="shared" si="13"/>
        <v>65</v>
      </c>
      <c r="E104" s="1" t="s">
        <v>8</v>
      </c>
      <c r="F104" s="3">
        <f>INDEX(people!$A$2:$A$300, MATCH(G104,people!$C$2:$C$300, 0))</f>
        <v>2830300078</v>
      </c>
      <c r="G104" s="1" t="s">
        <v>103</v>
      </c>
    </row>
    <row r="105" spans="1:7" x14ac:dyDescent="0.6">
      <c r="A105" s="2">
        <v>104</v>
      </c>
      <c r="B105" s="1" t="s">
        <v>147</v>
      </c>
      <c r="D105" s="1">
        <f t="shared" si="13"/>
        <v>65</v>
      </c>
      <c r="E105" s="1" t="s">
        <v>8</v>
      </c>
      <c r="F105" s="3">
        <f>INDEX(people!$A$2:$A$300, MATCH(G105,people!$C$2:$C$300, 0))</f>
        <v>2910300165</v>
      </c>
      <c r="G105" s="1" t="s">
        <v>106</v>
      </c>
    </row>
    <row r="106" spans="1:7" x14ac:dyDescent="0.6">
      <c r="A106" s="2">
        <v>105</v>
      </c>
      <c r="B106" s="1" t="s">
        <v>427</v>
      </c>
      <c r="D106" s="1">
        <f>$A$67</f>
        <v>66</v>
      </c>
      <c r="E106" s="1" t="s">
        <v>143</v>
      </c>
      <c r="F106" s="3">
        <f>INDEX(people!$A$2:$A$300, MATCH(G106,people!$C$2:$C$300, 0))</f>
        <v>2920300428</v>
      </c>
      <c r="G106" s="1" t="s">
        <v>50</v>
      </c>
    </row>
    <row r="107" spans="1:7" x14ac:dyDescent="0.6">
      <c r="A107" s="2">
        <v>106</v>
      </c>
      <c r="B107" s="1" t="s">
        <v>427</v>
      </c>
      <c r="D107" s="1">
        <f t="shared" ref="D107:D117" si="14">$A$67</f>
        <v>66</v>
      </c>
      <c r="E107" s="1" t="s">
        <v>143</v>
      </c>
      <c r="F107" s="3">
        <f>INDEX(people!$A$2:$A$300, MATCH(G107,people!$C$2:$C$300, 0))</f>
        <v>1870300227</v>
      </c>
      <c r="G107" s="1" t="s">
        <v>45</v>
      </c>
    </row>
    <row r="108" spans="1:7" x14ac:dyDescent="0.6">
      <c r="A108" s="2">
        <v>107</v>
      </c>
      <c r="B108" s="1" t="s">
        <v>148</v>
      </c>
      <c r="D108" s="1">
        <f>$A$67</f>
        <v>66</v>
      </c>
      <c r="E108" s="1" t="s">
        <v>8</v>
      </c>
      <c r="F108" s="3">
        <f>INDEX(people!$A$2:$A$300, MATCH(G108,people!$C$2:$C$300, 0))</f>
        <v>1680300327</v>
      </c>
      <c r="G108" s="1" t="s">
        <v>74</v>
      </c>
    </row>
    <row r="109" spans="1:7" x14ac:dyDescent="0.6">
      <c r="A109" s="2">
        <v>108</v>
      </c>
      <c r="B109" s="1" t="s">
        <v>148</v>
      </c>
      <c r="D109" s="1">
        <f t="shared" si="14"/>
        <v>66</v>
      </c>
      <c r="E109" s="1" t="s">
        <v>8</v>
      </c>
      <c r="F109" s="3">
        <f>INDEX(people!$A$2:$A$300, MATCH(G109,people!$C$2:$C$300, 0))</f>
        <v>1670800495</v>
      </c>
      <c r="G109" s="1" t="s">
        <v>42</v>
      </c>
    </row>
    <row r="110" spans="1:7" x14ac:dyDescent="0.6">
      <c r="A110" s="2">
        <v>109</v>
      </c>
      <c r="B110" s="1" t="s">
        <v>148</v>
      </c>
      <c r="D110" s="1">
        <f t="shared" si="14"/>
        <v>66</v>
      </c>
      <c r="E110" s="1" t="s">
        <v>8</v>
      </c>
      <c r="F110" s="3">
        <f>INDEX(people!$A$2:$A$300, MATCH(G110,people!$C$2:$C$300, 0))</f>
        <v>2870300008</v>
      </c>
      <c r="G110" s="1" t="s">
        <v>91</v>
      </c>
    </row>
    <row r="111" spans="1:7" x14ac:dyDescent="0.6">
      <c r="A111" s="2">
        <v>110</v>
      </c>
      <c r="B111" s="1" t="s">
        <v>148</v>
      </c>
      <c r="D111" s="1">
        <f t="shared" si="14"/>
        <v>66</v>
      </c>
      <c r="E111" s="1" t="s">
        <v>8</v>
      </c>
      <c r="F111" s="3">
        <f>INDEX(people!$A$2:$A$300, MATCH(G111,people!$C$2:$C$300, 0))</f>
        <v>2870600141</v>
      </c>
      <c r="G111" s="1" t="s">
        <v>51</v>
      </c>
    </row>
    <row r="112" spans="1:7" x14ac:dyDescent="0.6">
      <c r="A112" s="2">
        <v>111</v>
      </c>
      <c r="B112" s="1" t="s">
        <v>148</v>
      </c>
      <c r="D112" s="1">
        <f t="shared" si="14"/>
        <v>66</v>
      </c>
      <c r="E112" s="1" t="s">
        <v>8</v>
      </c>
      <c r="F112" s="3">
        <f>INDEX(people!$A$2:$A$300, MATCH(G112,people!$C$2:$C$300, 0))</f>
        <v>2840300235</v>
      </c>
      <c r="G112" s="1" t="s">
        <v>73</v>
      </c>
    </row>
    <row r="113" spans="1:7" x14ac:dyDescent="0.6">
      <c r="A113" s="2">
        <v>112</v>
      </c>
      <c r="B113" s="1" t="s">
        <v>148</v>
      </c>
      <c r="D113" s="1">
        <f t="shared" si="14"/>
        <v>66</v>
      </c>
      <c r="E113" s="1" t="s">
        <v>8</v>
      </c>
      <c r="F113" s="3">
        <f>INDEX(people!$A$2:$A$300, MATCH(G113,people!$C$2:$C$300, 0))</f>
        <v>1840300396</v>
      </c>
      <c r="G113" s="1" t="s">
        <v>86</v>
      </c>
    </row>
    <row r="114" spans="1:7" x14ac:dyDescent="0.6">
      <c r="A114" s="2">
        <v>113</v>
      </c>
      <c r="B114" s="1" t="s">
        <v>148</v>
      </c>
      <c r="D114" s="1">
        <f t="shared" si="14"/>
        <v>66</v>
      </c>
      <c r="E114" s="1" t="s">
        <v>8</v>
      </c>
      <c r="F114" s="3">
        <f>INDEX(people!$A$2:$A$300, MATCH(G114,people!$C$2:$C$300, 0))</f>
        <v>1850800312</v>
      </c>
      <c r="G114" s="1" t="s">
        <v>87</v>
      </c>
    </row>
    <row r="115" spans="1:7" x14ac:dyDescent="0.6">
      <c r="A115" s="2">
        <v>114</v>
      </c>
      <c r="B115" s="1" t="s">
        <v>148</v>
      </c>
      <c r="D115" s="1">
        <f t="shared" si="14"/>
        <v>66</v>
      </c>
      <c r="E115" s="1" t="s">
        <v>8</v>
      </c>
      <c r="F115" s="3">
        <f>INDEX(people!$A$2:$A$300, MATCH(G115,people!$C$2:$C$300, 0))</f>
        <v>1680300330</v>
      </c>
      <c r="G115" s="1" t="s">
        <v>49</v>
      </c>
    </row>
    <row r="116" spans="1:7" x14ac:dyDescent="0.6">
      <c r="A116" s="2">
        <v>115</v>
      </c>
      <c r="B116" s="1" t="s">
        <v>148</v>
      </c>
      <c r="D116" s="1">
        <f t="shared" si="14"/>
        <v>66</v>
      </c>
      <c r="E116" s="1" t="s">
        <v>8</v>
      </c>
      <c r="F116" s="3">
        <f>INDEX(people!$A$2:$A$300, MATCH(G116,people!$C$2:$C$300, 0))</f>
        <v>1730500353</v>
      </c>
      <c r="G116" s="1" t="s">
        <v>75</v>
      </c>
    </row>
    <row r="117" spans="1:7" x14ac:dyDescent="0.6">
      <c r="A117" s="2">
        <v>116</v>
      </c>
      <c r="B117" s="1" t="s">
        <v>148</v>
      </c>
      <c r="D117" s="1">
        <f t="shared" si="14"/>
        <v>66</v>
      </c>
      <c r="E117" s="1" t="s">
        <v>8</v>
      </c>
      <c r="F117" s="3">
        <f>INDEX(people!$A$2:$A$300, MATCH(G117,people!$C$2:$C$300, 0))</f>
        <v>2930300284</v>
      </c>
      <c r="G117" s="1" t="s">
        <v>110</v>
      </c>
    </row>
    <row r="118" spans="1:7" x14ac:dyDescent="0.6">
      <c r="A118" s="2">
        <v>117</v>
      </c>
      <c r="B118" s="1" t="s">
        <v>428</v>
      </c>
      <c r="D118" s="1">
        <f>$A$68</f>
        <v>67</v>
      </c>
      <c r="E118" s="1" t="s">
        <v>143</v>
      </c>
      <c r="F118" s="3">
        <f>INDEX(people!$A$2:$A$300, MATCH(G118,people!$C$2:$C$300, 0))</f>
        <v>1821000140</v>
      </c>
      <c r="G118" s="1" t="s">
        <v>66</v>
      </c>
    </row>
    <row r="119" spans="1:7" x14ac:dyDescent="0.6">
      <c r="A119" s="2">
        <v>118</v>
      </c>
      <c r="B119" s="1" t="s">
        <v>428</v>
      </c>
      <c r="D119" s="1">
        <f t="shared" ref="D119:D123" si="15">$A$68</f>
        <v>67</v>
      </c>
      <c r="E119" s="1" t="s">
        <v>143</v>
      </c>
      <c r="F119" s="3">
        <f>INDEX(people!$A$2:$A$300, MATCH(G119,people!$C$2:$C$300, 0))</f>
        <v>1901200130</v>
      </c>
      <c r="G119" s="1" t="s">
        <v>92</v>
      </c>
    </row>
    <row r="120" spans="1:7" x14ac:dyDescent="0.6">
      <c r="A120" s="2">
        <v>119</v>
      </c>
      <c r="B120" s="1" t="s">
        <v>149</v>
      </c>
      <c r="D120" s="1">
        <f t="shared" si="15"/>
        <v>67</v>
      </c>
      <c r="E120" s="1" t="s">
        <v>8</v>
      </c>
      <c r="F120" s="3">
        <f>INDEX(people!$A$2:$A$300, MATCH(G120,people!$C$2:$C$300, 0))</f>
        <v>2702100269</v>
      </c>
      <c r="G120" s="1" t="s">
        <v>64</v>
      </c>
    </row>
    <row r="121" spans="1:7" x14ac:dyDescent="0.6">
      <c r="A121" s="2">
        <v>120</v>
      </c>
      <c r="B121" s="1" t="s">
        <v>149</v>
      </c>
      <c r="D121" s="1">
        <f t="shared" si="15"/>
        <v>67</v>
      </c>
      <c r="E121" s="1" t="s">
        <v>8</v>
      </c>
      <c r="F121" s="3">
        <f>INDEX(people!$A$2:$A$300, MATCH(G121,people!$C$2:$C$300, 0))</f>
        <v>1860300387</v>
      </c>
      <c r="G121" s="1" t="s">
        <v>67</v>
      </c>
    </row>
    <row r="122" spans="1:7" x14ac:dyDescent="0.6">
      <c r="A122" s="2">
        <v>121</v>
      </c>
      <c r="B122" s="1" t="s">
        <v>149</v>
      </c>
      <c r="D122" s="1">
        <f t="shared" si="15"/>
        <v>67</v>
      </c>
      <c r="E122" s="1" t="s">
        <v>8</v>
      </c>
      <c r="F122" s="3">
        <f>INDEX(people!$A$2:$A$300, MATCH(G122,people!$C$2:$C$300, 0))</f>
        <v>2910300320</v>
      </c>
      <c r="G122" s="1" t="s">
        <v>68</v>
      </c>
    </row>
    <row r="123" spans="1:7" x14ac:dyDescent="0.6">
      <c r="A123" s="2">
        <v>122</v>
      </c>
      <c r="B123" s="1" t="s">
        <v>149</v>
      </c>
      <c r="D123" s="1">
        <f t="shared" si="15"/>
        <v>67</v>
      </c>
      <c r="E123" s="1" t="s">
        <v>8</v>
      </c>
      <c r="F123" s="3">
        <f>INDEX(people!$A$2:$A$300, MATCH(G123,people!$C$2:$C$300, 0))</f>
        <v>2860300359</v>
      </c>
      <c r="G123" s="1" t="s">
        <v>93</v>
      </c>
    </row>
    <row r="124" spans="1:7" x14ac:dyDescent="0.6">
      <c r="A124" s="2">
        <v>123</v>
      </c>
      <c r="B124" s="1" t="s">
        <v>150</v>
      </c>
      <c r="D124" s="1">
        <f>$A$69</f>
        <v>68</v>
      </c>
      <c r="E124" s="1" t="s">
        <v>8</v>
      </c>
      <c r="F124" s="3">
        <f>INDEX(people!$A$2:$A$300, MATCH(G124,people!$C$2:$C$300, 0))</f>
        <v>1730300451</v>
      </c>
      <c r="G124" s="1" t="s">
        <v>100</v>
      </c>
    </row>
    <row r="125" spans="1:7" x14ac:dyDescent="0.6">
      <c r="A125" s="2">
        <v>124</v>
      </c>
      <c r="B125" s="1" t="s">
        <v>150</v>
      </c>
      <c r="D125" s="1">
        <f>$A$69</f>
        <v>68</v>
      </c>
      <c r="E125" s="1" t="s">
        <v>8</v>
      </c>
      <c r="F125" s="3">
        <f>INDEX(people!$A$2:$A$300, MATCH(G125,people!$C$2:$C$300, 0))</f>
        <v>1942000040</v>
      </c>
      <c r="G125" s="1" t="s">
        <v>111</v>
      </c>
    </row>
    <row r="126" spans="1:7" x14ac:dyDescent="0.6">
      <c r="A126" s="2">
        <v>125</v>
      </c>
      <c r="B126" s="1" t="s">
        <v>429</v>
      </c>
      <c r="D126" s="1">
        <f>$A$71</f>
        <v>70</v>
      </c>
      <c r="E126" s="1" t="s">
        <v>143</v>
      </c>
      <c r="F126" s="3">
        <f>INDEX(people!$A$2:$A$300, MATCH(G126,people!$C$2:$C$300, 0))</f>
        <v>2000300183</v>
      </c>
      <c r="G126" s="1" t="s">
        <v>117</v>
      </c>
    </row>
    <row r="127" spans="1:7" x14ac:dyDescent="0.6">
      <c r="A127" s="2">
        <v>126</v>
      </c>
      <c r="B127" s="1" t="s">
        <v>401</v>
      </c>
      <c r="D127" s="1">
        <f t="shared" ref="D127:D128" si="16">$A$71</f>
        <v>70</v>
      </c>
      <c r="E127" s="1" t="s">
        <v>8</v>
      </c>
      <c r="F127" s="3">
        <f>INDEX(people!$A$2:$A$300, MATCH(G127,people!$C$2:$C$300, 0))</f>
        <v>1910800280</v>
      </c>
      <c r="G127" s="1" t="s">
        <v>71</v>
      </c>
    </row>
    <row r="128" spans="1:7" x14ac:dyDescent="0.6">
      <c r="A128" s="2">
        <v>127</v>
      </c>
      <c r="B128" s="1" t="s">
        <v>401</v>
      </c>
      <c r="D128" s="1">
        <f t="shared" si="16"/>
        <v>70</v>
      </c>
      <c r="E128" s="1" t="s">
        <v>8</v>
      </c>
      <c r="F128" s="3">
        <f>INDEX(people!$A$2:$A$300, MATCH(G128,people!$C$2:$C$300, 0))</f>
        <v>1811400192</v>
      </c>
      <c r="G128" s="1" t="s">
        <v>72</v>
      </c>
    </row>
    <row r="129" spans="1:7" x14ac:dyDescent="0.6">
      <c r="A129" s="2">
        <v>128</v>
      </c>
      <c r="B129" s="1" t="s">
        <v>430</v>
      </c>
      <c r="D129" s="1">
        <f>$A$72</f>
        <v>71</v>
      </c>
      <c r="E129" s="1" t="s">
        <v>143</v>
      </c>
      <c r="F129" s="3">
        <f>INDEX(people!$A$2:$A$300, MATCH(G129,people!$C$2:$C$300, 0))</f>
        <v>1870300100</v>
      </c>
      <c r="G129" s="1" t="s">
        <v>104</v>
      </c>
    </row>
    <row r="130" spans="1:7" x14ac:dyDescent="0.6">
      <c r="A130" s="2">
        <v>129</v>
      </c>
      <c r="B130" s="1" t="s">
        <v>431</v>
      </c>
      <c r="D130" s="1">
        <f>$A$73</f>
        <v>72</v>
      </c>
      <c r="E130" s="1" t="s">
        <v>143</v>
      </c>
      <c r="F130" s="3">
        <f>INDEX(people!$A$2:$A$300, MATCH(G130,people!$C$2:$C$300, 0))</f>
        <v>1680300367</v>
      </c>
      <c r="G130" s="1" t="s">
        <v>80</v>
      </c>
    </row>
    <row r="131" spans="1:7" x14ac:dyDescent="0.6">
      <c r="A131" s="2">
        <v>130</v>
      </c>
      <c r="B131" s="1" t="s">
        <v>151</v>
      </c>
      <c r="D131" s="1">
        <f>$A$73</f>
        <v>72</v>
      </c>
      <c r="E131" s="1" t="s">
        <v>8</v>
      </c>
      <c r="F131" s="3">
        <f>INDEX(people!$A$2:$A$300, MATCH(G131,people!$C$2:$C$300, 0))</f>
        <v>2680300175</v>
      </c>
      <c r="G131" s="1" t="s">
        <v>94</v>
      </c>
    </row>
  </sheetData>
  <phoneticPr fontId="3" type="noConversion"/>
  <pageMargins left="0.7" right="0.7" top="0.75" bottom="0.75" header="0.3" footer="0.3"/>
  <pageSetup paperSize="8" orientation="portrait" horizontalDpi="1200" verticalDpi="1200" r:id="rId1"/>
  <ignoredErrors>
    <ignoredError sqref="A1:G1 C2:E2 C38 E38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1"/>
  <sheetViews>
    <sheetView topLeftCell="A118" zoomScale="104" zoomScaleNormal="104" workbookViewId="0">
      <selection activeCell="C122" sqref="C122"/>
    </sheetView>
  </sheetViews>
  <sheetFormatPr defaultRowHeight="17.2" x14ac:dyDescent="0.5"/>
  <cols>
    <col min="1" max="1" width="18.6328125" style="4" customWidth="1"/>
    <col min="2" max="3" width="35.26953125" customWidth="1"/>
    <col min="4" max="5" width="34.1796875" customWidth="1"/>
    <col min="6" max="6" width="8.08984375" style="6" customWidth="1"/>
    <col min="7" max="7" width="12.7265625" bestFit="1" customWidth="1"/>
    <col min="8" max="8" width="12.1796875" bestFit="1" customWidth="1"/>
    <col min="9" max="9" width="10.36328125" bestFit="1" customWidth="1"/>
    <col min="10" max="10" width="14.90625" bestFit="1" customWidth="1"/>
    <col min="11" max="11" width="12.1796875" bestFit="1" customWidth="1"/>
    <col min="12" max="12" width="8.90625" bestFit="1" customWidth="1"/>
    <col min="13" max="13" width="10.6328125" bestFit="1" customWidth="1"/>
  </cols>
  <sheetData>
    <row r="1" spans="1:13" x14ac:dyDescent="0.5">
      <c r="A1" s="4" t="s">
        <v>0</v>
      </c>
      <c r="B1" t="s">
        <v>1</v>
      </c>
      <c r="C1" t="s">
        <v>878</v>
      </c>
      <c r="D1" t="s">
        <v>9</v>
      </c>
      <c r="E1" t="s">
        <v>152</v>
      </c>
      <c r="F1" s="6" t="s">
        <v>433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5">
      <c r="A2" s="5">
        <v>1680300332</v>
      </c>
      <c r="B2" s="6" t="str">
        <f>IF(F2="ប្រុស","លោក "&amp;C2,"លោកស្រី "&amp;C2)</f>
        <v>លោក សេង ស៊ីម</v>
      </c>
      <c r="C2" s="6" t="s">
        <v>17</v>
      </c>
      <c r="D2" t="s">
        <v>277</v>
      </c>
      <c r="E2" t="s">
        <v>153</v>
      </c>
      <c r="F2" s="6" t="s">
        <v>434</v>
      </c>
      <c r="G2" t="s">
        <v>7</v>
      </c>
      <c r="H2" t="str">
        <f>VLOOKUP(E2,data!$C$2:$U$103,5,FALSE)</f>
        <v>012 989 336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 spans="1:13" x14ac:dyDescent="0.5">
      <c r="A3" s="5" t="s">
        <v>18</v>
      </c>
      <c r="B3" s="6" t="str">
        <f t="shared" ref="B3:B66" si="0">IF(F3="ប្រុស","លោក "&amp;C3,"លោកស្រី "&amp;C3)</f>
        <v>លោក តាយ ណារិន</v>
      </c>
      <c r="C3" s="6" t="s">
        <v>19</v>
      </c>
      <c r="D3" t="s">
        <v>278</v>
      </c>
      <c r="E3" t="s">
        <v>154</v>
      </c>
      <c r="F3" s="6" t="s">
        <v>434</v>
      </c>
      <c r="G3" t="s">
        <v>7</v>
      </c>
      <c r="H3" t="str">
        <f>VLOOKUP(E3,data!$C$2:$U$103,5,FALSE)</f>
        <v>016 720 128</v>
      </c>
      <c r="I3" t="s">
        <v>7</v>
      </c>
      <c r="J3" t="s">
        <v>7</v>
      </c>
      <c r="K3" t="s">
        <v>7</v>
      </c>
      <c r="L3" t="s">
        <v>7</v>
      </c>
      <c r="M3" t="s">
        <v>7</v>
      </c>
    </row>
    <row r="4" spans="1:13" x14ac:dyDescent="0.5">
      <c r="A4" s="5">
        <v>1710300275</v>
      </c>
      <c r="B4" s="6" t="str">
        <f t="shared" si="0"/>
        <v>លោក អ៊ុំ កេងម៉េង</v>
      </c>
      <c r="C4" s="6" t="s">
        <v>20</v>
      </c>
      <c r="D4" t="s">
        <v>279</v>
      </c>
      <c r="E4" t="s">
        <v>155</v>
      </c>
      <c r="F4" s="6" t="s">
        <v>434</v>
      </c>
      <c r="G4" t="s">
        <v>7</v>
      </c>
      <c r="H4" t="str">
        <f>VLOOKUP(E4,data!$C$2:$U$103,5,FALSE)</f>
        <v>012 218 911</v>
      </c>
      <c r="I4" t="s">
        <v>7</v>
      </c>
      <c r="J4" t="s">
        <v>7</v>
      </c>
      <c r="K4" t="s">
        <v>7</v>
      </c>
      <c r="L4" t="s">
        <v>7</v>
      </c>
      <c r="M4" t="s">
        <v>7</v>
      </c>
    </row>
    <row r="5" spans="1:13" x14ac:dyDescent="0.5">
      <c r="A5" s="5">
        <v>1800300530</v>
      </c>
      <c r="B5" s="6" t="str">
        <f t="shared" si="0"/>
        <v>លោក ហ៊ាត់ ប៊ុនហឿង</v>
      </c>
      <c r="C5" s="6" t="s">
        <v>21</v>
      </c>
      <c r="D5" t="s">
        <v>280</v>
      </c>
      <c r="E5" t="s">
        <v>156</v>
      </c>
      <c r="F5" s="6" t="s">
        <v>434</v>
      </c>
      <c r="H5" t="str">
        <f>VLOOKUP(E5,data!$C$2:$U$103,5,FALSE)</f>
        <v>012 315 091</v>
      </c>
      <c r="I5" t="s">
        <v>7</v>
      </c>
      <c r="J5" t="s">
        <v>7</v>
      </c>
      <c r="K5" t="s">
        <v>7</v>
      </c>
      <c r="L5" t="s">
        <v>7</v>
      </c>
      <c r="M5" t="s">
        <v>7</v>
      </c>
    </row>
    <row r="6" spans="1:13" x14ac:dyDescent="0.5">
      <c r="A6" s="5">
        <v>2680300154</v>
      </c>
      <c r="B6" s="6" t="str">
        <f t="shared" si="0"/>
        <v>លោកស្រី អ៊ុក វណ្ណថាត</v>
      </c>
      <c r="C6" s="6" t="s">
        <v>22</v>
      </c>
      <c r="D6" t="s">
        <v>281</v>
      </c>
      <c r="E6" t="s">
        <v>157</v>
      </c>
      <c r="F6" s="6" t="s">
        <v>435</v>
      </c>
      <c r="G6" t="s">
        <v>7</v>
      </c>
      <c r="H6" t="str">
        <f>VLOOKUP(E6,data!$C$2:$U$103,5,FALSE)</f>
        <v>076 999 3832</v>
      </c>
      <c r="I6" t="s">
        <v>7</v>
      </c>
      <c r="J6" t="s">
        <v>7</v>
      </c>
      <c r="K6" t="s">
        <v>7</v>
      </c>
      <c r="L6" t="s">
        <v>7</v>
      </c>
      <c r="M6" t="s">
        <v>7</v>
      </c>
    </row>
    <row r="7" spans="1:13" x14ac:dyDescent="0.5">
      <c r="A7" s="5">
        <v>1680300331</v>
      </c>
      <c r="B7" s="6" t="str">
        <f t="shared" si="0"/>
        <v>លោក ជូ សុផានី</v>
      </c>
      <c r="C7" s="6" t="s">
        <v>23</v>
      </c>
      <c r="D7" t="s">
        <v>282</v>
      </c>
      <c r="E7" t="s">
        <v>158</v>
      </c>
      <c r="F7" s="6" t="s">
        <v>434</v>
      </c>
      <c r="G7" t="s">
        <v>7</v>
      </c>
      <c r="H7" t="str">
        <f>VLOOKUP(E7,data!$C$2:$U$103,5,FALSE)</f>
        <v>099 880 110</v>
      </c>
      <c r="I7" t="s">
        <v>7</v>
      </c>
      <c r="J7" t="s">
        <v>7</v>
      </c>
      <c r="K7" t="s">
        <v>7</v>
      </c>
      <c r="L7" t="s">
        <v>7</v>
      </c>
      <c r="M7" t="s">
        <v>7</v>
      </c>
    </row>
    <row r="8" spans="1:13" x14ac:dyDescent="0.5">
      <c r="A8" s="5">
        <v>1750300438</v>
      </c>
      <c r="B8" s="6" t="str">
        <f t="shared" si="0"/>
        <v>លោក ខុន គង់</v>
      </c>
      <c r="C8" s="6" t="s">
        <v>24</v>
      </c>
      <c r="D8" t="s">
        <v>283</v>
      </c>
      <c r="E8" t="s">
        <v>159</v>
      </c>
      <c r="F8" s="6" t="s">
        <v>434</v>
      </c>
      <c r="G8" t="s">
        <v>7</v>
      </c>
      <c r="H8" t="str">
        <f>VLOOKUP(E8,data!$C$2:$U$103,5,FALSE)</f>
        <v>092 689 922</v>
      </c>
      <c r="I8" t="s">
        <v>7</v>
      </c>
      <c r="J8" t="s">
        <v>7</v>
      </c>
      <c r="K8" t="s">
        <v>7</v>
      </c>
      <c r="L8" t="s">
        <v>7</v>
      </c>
      <c r="M8" t="s">
        <v>7</v>
      </c>
    </row>
    <row r="9" spans="1:13" x14ac:dyDescent="0.5">
      <c r="A9" s="5">
        <v>1790300234</v>
      </c>
      <c r="B9" s="6" t="str">
        <f t="shared" si="0"/>
        <v>លោក ហ៊ឹង សុខចាន់</v>
      </c>
      <c r="C9" s="6" t="s">
        <v>25</v>
      </c>
      <c r="D9" t="s">
        <v>284</v>
      </c>
      <c r="E9" t="s">
        <v>160</v>
      </c>
      <c r="F9" s="6" t="s">
        <v>434</v>
      </c>
      <c r="G9" t="s">
        <v>7</v>
      </c>
      <c r="H9" t="str">
        <f>VLOOKUP(E9,data!$C$2:$U$103,5,FALSE)</f>
        <v>078 829 990</v>
      </c>
      <c r="I9" t="s">
        <v>7</v>
      </c>
      <c r="J9" t="s">
        <v>7</v>
      </c>
      <c r="K9" t="s">
        <v>7</v>
      </c>
      <c r="L9" t="s">
        <v>7</v>
      </c>
      <c r="M9" t="s">
        <v>7</v>
      </c>
    </row>
    <row r="10" spans="1:13" x14ac:dyDescent="0.5">
      <c r="A10" s="5">
        <v>2820300049</v>
      </c>
      <c r="B10" s="6" t="str">
        <f t="shared" si="0"/>
        <v>លោកស្រី ឱ ភិរ៉ាណ</v>
      </c>
      <c r="C10" s="6" t="s">
        <v>26</v>
      </c>
      <c r="D10" t="s">
        <v>285</v>
      </c>
      <c r="E10" t="s">
        <v>161</v>
      </c>
      <c r="F10" s="6" t="s">
        <v>435</v>
      </c>
      <c r="G10" t="s">
        <v>7</v>
      </c>
      <c r="H10" t="str">
        <f>VLOOKUP(E10,data!$C$2:$U$103,5,FALSE)</f>
        <v>012 626 057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</row>
    <row r="11" spans="1:13" x14ac:dyDescent="0.5">
      <c r="A11" s="5">
        <v>2720300109</v>
      </c>
      <c r="B11" s="6" t="str">
        <f t="shared" si="0"/>
        <v>លោកស្រី ចិន ផល្លា</v>
      </c>
      <c r="C11" s="6" t="s">
        <v>27</v>
      </c>
      <c r="D11" t="s">
        <v>286</v>
      </c>
      <c r="E11" t="s">
        <v>162</v>
      </c>
      <c r="F11" s="6" t="s">
        <v>435</v>
      </c>
      <c r="G11" t="s">
        <v>7</v>
      </c>
      <c r="H11" t="str">
        <f>VLOOKUP(E11,data!$C$2:$U$103,5,FALSE)</f>
        <v>096 570 4177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</row>
    <row r="12" spans="1:13" x14ac:dyDescent="0.5">
      <c r="A12" s="5">
        <v>1660300189</v>
      </c>
      <c r="B12" s="6" t="str">
        <f t="shared" si="0"/>
        <v>លោក យ៉ែម រុំផា</v>
      </c>
      <c r="C12" s="6" t="s">
        <v>28</v>
      </c>
      <c r="D12" t="s">
        <v>287</v>
      </c>
      <c r="E12" t="s">
        <v>163</v>
      </c>
      <c r="F12" s="6" t="s">
        <v>434</v>
      </c>
      <c r="G12" t="s">
        <v>7</v>
      </c>
      <c r="H12" t="str">
        <f>VLOOKUP(E12,data!$C$2:$U$103,5,FALSE)</f>
        <v>012 897 651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</row>
    <row r="13" spans="1:13" x14ac:dyDescent="0.5">
      <c r="A13" s="5">
        <v>2670300101</v>
      </c>
      <c r="B13" s="6" t="str">
        <f t="shared" si="0"/>
        <v>លោកស្រី ឡាង គីមសេង</v>
      </c>
      <c r="C13" s="6" t="s">
        <v>29</v>
      </c>
      <c r="D13" t="s">
        <v>288</v>
      </c>
      <c r="E13" t="s">
        <v>164</v>
      </c>
      <c r="F13" s="6" t="s">
        <v>435</v>
      </c>
      <c r="G13" t="s">
        <v>7</v>
      </c>
      <c r="H13">
        <f>VLOOKUP(E13,data!$C$2:$U$103,5,FALSE)</f>
        <v>0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</row>
    <row r="14" spans="1:13" x14ac:dyDescent="0.5">
      <c r="A14" s="5">
        <v>1820300233</v>
      </c>
      <c r="B14" s="6" t="str">
        <f t="shared" si="0"/>
        <v>លោក ហេង សីហា</v>
      </c>
      <c r="C14" s="6" t="s">
        <v>30</v>
      </c>
      <c r="D14" t="s">
        <v>289</v>
      </c>
      <c r="E14" t="s">
        <v>165</v>
      </c>
      <c r="F14" s="6" t="s">
        <v>434</v>
      </c>
      <c r="G14" t="s">
        <v>7</v>
      </c>
      <c r="H14" t="str">
        <f>VLOOKUP(E14,data!$C$2:$U$103,5,FALSE)</f>
        <v>092 402 727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</row>
    <row r="15" spans="1:13" x14ac:dyDescent="0.5">
      <c r="A15" s="5">
        <v>1890700240</v>
      </c>
      <c r="B15" s="6" t="str">
        <f t="shared" si="0"/>
        <v>លោក គុំ រំដោះ</v>
      </c>
      <c r="C15" s="6" t="s">
        <v>31</v>
      </c>
      <c r="D15" t="s">
        <v>290</v>
      </c>
      <c r="E15" t="s">
        <v>166</v>
      </c>
      <c r="F15" s="6" t="s">
        <v>434</v>
      </c>
      <c r="G15" t="s">
        <v>7</v>
      </c>
      <c r="H15" t="str">
        <f>VLOOKUP(E15,data!$C$2:$U$103,5,FALSE)</f>
        <v>017 887 400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</row>
    <row r="16" spans="1:13" x14ac:dyDescent="0.5">
      <c r="A16" s="5">
        <v>2870300243</v>
      </c>
      <c r="B16" s="6" t="str">
        <f t="shared" si="0"/>
        <v>លោកស្រី សេង សុវ៉ាត</v>
      </c>
      <c r="C16" s="6" t="s">
        <v>32</v>
      </c>
      <c r="D16" t="s">
        <v>291</v>
      </c>
      <c r="E16" t="s">
        <v>167</v>
      </c>
      <c r="F16" s="6" t="s">
        <v>435</v>
      </c>
      <c r="G16" t="s">
        <v>7</v>
      </c>
      <c r="H16" t="str">
        <f>VLOOKUP(E16,data!$C$2:$U$103,5,FALSE)</f>
        <v>012 438 428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</row>
    <row r="17" spans="1:13" x14ac:dyDescent="0.5">
      <c r="A17" s="5">
        <v>1830300209</v>
      </c>
      <c r="B17" s="6" t="str">
        <f t="shared" si="0"/>
        <v>លោក លី ពិសិដ្ឋ</v>
      </c>
      <c r="C17" s="6" t="s">
        <v>33</v>
      </c>
      <c r="D17" t="s">
        <v>292</v>
      </c>
      <c r="E17" t="s">
        <v>168</v>
      </c>
      <c r="F17" s="6" t="s">
        <v>434</v>
      </c>
      <c r="G17" t="s">
        <v>7</v>
      </c>
      <c r="H17" t="str">
        <f>VLOOKUP(E17,data!$C$2:$U$103,5,FALSE)</f>
        <v>012 764 206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</row>
    <row r="18" spans="1:13" x14ac:dyDescent="0.5">
      <c r="A18" s="5">
        <v>2930300439</v>
      </c>
      <c r="B18" s="6" t="str">
        <f t="shared" si="0"/>
        <v>លោកស្រី គីន ស្រីឡែន</v>
      </c>
      <c r="C18" s="6" t="s">
        <v>34</v>
      </c>
      <c r="D18" t="s">
        <v>293</v>
      </c>
      <c r="E18" t="s">
        <v>169</v>
      </c>
      <c r="F18" s="6" t="s">
        <v>435</v>
      </c>
      <c r="G18" t="s">
        <v>7</v>
      </c>
      <c r="H18" t="str">
        <f>VLOOKUP(E18,data!$C$2:$U$103,5,FALSE)</f>
        <v>011 740 192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</row>
    <row r="19" spans="1:13" x14ac:dyDescent="0.5">
      <c r="A19" s="5">
        <v>2870300253</v>
      </c>
      <c r="B19" s="6" t="str">
        <f t="shared" si="0"/>
        <v>លោកស្រី ហេង សុផានិត</v>
      </c>
      <c r="C19" s="6" t="s">
        <v>35</v>
      </c>
      <c r="D19" t="s">
        <v>294</v>
      </c>
      <c r="E19" t="s">
        <v>170</v>
      </c>
      <c r="F19" s="6" t="s">
        <v>435</v>
      </c>
      <c r="G19" t="s">
        <v>7</v>
      </c>
      <c r="H19" t="str">
        <f>VLOOKUP(E19,data!$C$2:$U$103,5,FALSE)</f>
        <v>017 659 547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 x14ac:dyDescent="0.5">
      <c r="A20" s="5">
        <v>2900300246</v>
      </c>
      <c r="B20" s="6" t="str">
        <f t="shared" si="0"/>
        <v>លោកស្រី នី រមនា</v>
      </c>
      <c r="C20" s="6" t="s">
        <v>36</v>
      </c>
      <c r="D20" t="s">
        <v>295</v>
      </c>
      <c r="E20" t="s">
        <v>171</v>
      </c>
      <c r="F20" s="6" t="s">
        <v>435</v>
      </c>
      <c r="G20" t="s">
        <v>7</v>
      </c>
      <c r="H20" t="str">
        <f>VLOOKUP(E20,data!$C$2:$U$103,5,FALSE)</f>
        <v>086 606 996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</row>
    <row r="21" spans="1:13" x14ac:dyDescent="0.5">
      <c r="A21" s="5">
        <v>2990300274</v>
      </c>
      <c r="B21" s="6" t="str">
        <f t="shared" si="0"/>
        <v>លោកស្រី ស៊ាង ស៊ាវលី</v>
      </c>
      <c r="C21" s="6" t="s">
        <v>37</v>
      </c>
      <c r="D21" t="s">
        <v>296</v>
      </c>
      <c r="E21" t="s">
        <v>172</v>
      </c>
      <c r="F21" s="6" t="s">
        <v>435</v>
      </c>
      <c r="G21" t="s">
        <v>7</v>
      </c>
      <c r="H21" t="e">
        <f>VLOOKUP(E21,data!$C$2:$U$103,5,FALSE)</f>
        <v>#N/A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</row>
    <row r="22" spans="1:13" x14ac:dyDescent="0.5">
      <c r="A22" s="5">
        <v>1840300188</v>
      </c>
      <c r="B22" s="6" t="str">
        <f t="shared" si="0"/>
        <v>លោក អ៊ាង វិបុល</v>
      </c>
      <c r="C22" s="6" t="s">
        <v>38</v>
      </c>
      <c r="D22" t="s">
        <v>297</v>
      </c>
      <c r="E22" t="s">
        <v>173</v>
      </c>
      <c r="F22" s="6" t="s">
        <v>434</v>
      </c>
      <c r="G22" t="s">
        <v>7</v>
      </c>
      <c r="H22" t="str">
        <f>VLOOKUP(E22,data!$C$2:$U$103,5,FALSE)</f>
        <v>012 430 024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</row>
    <row r="23" spans="1:13" x14ac:dyDescent="0.5">
      <c r="A23" s="5">
        <v>2810300213</v>
      </c>
      <c r="B23" s="6" t="str">
        <f t="shared" si="0"/>
        <v>លោកស្រី ហេង ណាលីន</v>
      </c>
      <c r="C23" s="6" t="s">
        <v>39</v>
      </c>
      <c r="D23" t="s">
        <v>298</v>
      </c>
      <c r="E23" t="s">
        <v>174</v>
      </c>
      <c r="F23" s="6" t="s">
        <v>435</v>
      </c>
      <c r="G23" t="s">
        <v>7</v>
      </c>
      <c r="H23" t="str">
        <f>VLOOKUP(E23,data!$C$2:$U$103,5,FALSE)</f>
        <v>011 992 233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</row>
    <row r="24" spans="1:13" x14ac:dyDescent="0.5">
      <c r="A24" s="5">
        <v>2880300262</v>
      </c>
      <c r="B24" s="6" t="str">
        <f t="shared" si="0"/>
        <v>លោកស្រី រុន វួចនា</v>
      </c>
      <c r="C24" s="6" t="s">
        <v>40</v>
      </c>
      <c r="D24" t="s">
        <v>299</v>
      </c>
      <c r="E24" t="s">
        <v>175</v>
      </c>
      <c r="F24" s="6" t="s">
        <v>435</v>
      </c>
      <c r="G24" t="s">
        <v>7</v>
      </c>
      <c r="H24" t="str">
        <f>VLOOKUP(E24,data!$C$2:$U$103,5,FALSE)</f>
        <v>017 650 480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</row>
    <row r="25" spans="1:13" x14ac:dyDescent="0.5">
      <c r="A25" s="5">
        <v>2980300364</v>
      </c>
      <c r="B25" s="6" t="str">
        <f t="shared" si="0"/>
        <v>លោកស្រី ម៉ុក ចាន់រ៉ុង</v>
      </c>
      <c r="C25" s="6" t="s">
        <v>41</v>
      </c>
      <c r="D25" t="s">
        <v>300</v>
      </c>
      <c r="E25" t="s">
        <v>176</v>
      </c>
      <c r="F25" s="6" t="s">
        <v>435</v>
      </c>
      <c r="G25" t="s">
        <v>7</v>
      </c>
      <c r="H25" t="e">
        <f>VLOOKUP(E25,data!$C$2:$U$103,5,FALSE)</f>
        <v>#N/A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</row>
    <row r="26" spans="1:13" x14ac:dyDescent="0.5">
      <c r="A26" s="5">
        <v>1670800495</v>
      </c>
      <c r="B26" s="6" t="str">
        <f t="shared" si="0"/>
        <v>លោក ប៊ិន ឈឿន</v>
      </c>
      <c r="C26" s="6" t="s">
        <v>42</v>
      </c>
      <c r="D26" t="s">
        <v>301</v>
      </c>
      <c r="E26" t="s">
        <v>177</v>
      </c>
      <c r="F26" s="6" t="s">
        <v>434</v>
      </c>
      <c r="G26" t="s">
        <v>7</v>
      </c>
      <c r="H26" t="str">
        <f>VLOOKUP(E26,data!$C$2:$U$103,5,FALSE)</f>
        <v>012 937 579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</row>
    <row r="27" spans="1:13" x14ac:dyDescent="0.5">
      <c r="A27" s="5">
        <v>1800300408</v>
      </c>
      <c r="B27" s="6" t="str">
        <f t="shared" si="0"/>
        <v>លោក ឡុង សុវ៉ាង</v>
      </c>
      <c r="C27" s="6" t="s">
        <v>43</v>
      </c>
      <c r="D27" t="s">
        <v>302</v>
      </c>
      <c r="E27" t="s">
        <v>178</v>
      </c>
      <c r="F27" s="6" t="s">
        <v>434</v>
      </c>
      <c r="G27" t="s">
        <v>7</v>
      </c>
      <c r="H27" t="str">
        <f>VLOOKUP(E27,data!$C$2:$U$103,5,FALSE)</f>
        <v>095 993 167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</row>
    <row r="28" spans="1:13" x14ac:dyDescent="0.5">
      <c r="A28" s="5">
        <v>1830300210</v>
      </c>
      <c r="B28" s="6" t="str">
        <f t="shared" si="0"/>
        <v>លោក ជឹម ជានី</v>
      </c>
      <c r="C28" s="6" t="s">
        <v>44</v>
      </c>
      <c r="D28" t="s">
        <v>303</v>
      </c>
      <c r="E28" t="s">
        <v>179</v>
      </c>
      <c r="F28" s="6" t="s">
        <v>434</v>
      </c>
      <c r="G28" t="s">
        <v>7</v>
      </c>
      <c r="H28" t="str">
        <f>VLOOKUP(E28,data!$C$2:$U$103,5,FALSE)</f>
        <v>012 322 701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</row>
    <row r="29" spans="1:13" x14ac:dyDescent="0.5">
      <c r="A29" s="5">
        <v>1870300227</v>
      </c>
      <c r="B29" s="6" t="str">
        <f t="shared" si="0"/>
        <v>លោក ថូយ ម៉ុងស្រេង</v>
      </c>
      <c r="C29" s="6" t="s">
        <v>45</v>
      </c>
      <c r="D29" t="s">
        <v>304</v>
      </c>
      <c r="E29" t="s">
        <v>180</v>
      </c>
      <c r="F29" s="6" t="s">
        <v>434</v>
      </c>
      <c r="G29" t="s">
        <v>7</v>
      </c>
      <c r="H29" t="str">
        <f>VLOOKUP(E29,data!$C$2:$U$103,5,FALSE)</f>
        <v>078 936 167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</row>
    <row r="30" spans="1:13" x14ac:dyDescent="0.5">
      <c r="A30" s="5">
        <v>1730300800</v>
      </c>
      <c r="B30" s="6" t="str">
        <f t="shared" si="0"/>
        <v>លោក នាង វឿន</v>
      </c>
      <c r="C30" s="6" t="s">
        <v>46</v>
      </c>
      <c r="D30" t="s">
        <v>305</v>
      </c>
      <c r="E30" t="s">
        <v>181</v>
      </c>
      <c r="F30" s="6" t="s">
        <v>434</v>
      </c>
      <c r="G30" t="s">
        <v>7</v>
      </c>
      <c r="H30" t="str">
        <f>VLOOKUP(E30,data!$C$2:$U$103,5,FALSE)</f>
        <v>012 202 987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</row>
    <row r="31" spans="1:13" x14ac:dyDescent="0.5">
      <c r="A31" s="5">
        <v>2890300162</v>
      </c>
      <c r="B31" s="6" t="str">
        <f t="shared" si="0"/>
        <v>លោកស្រី ឡៃ ចិន្តា</v>
      </c>
      <c r="C31" s="6" t="s">
        <v>47</v>
      </c>
      <c r="D31" t="s">
        <v>306</v>
      </c>
      <c r="E31" t="s">
        <v>182</v>
      </c>
      <c r="F31" s="6" t="s">
        <v>435</v>
      </c>
      <c r="G31" t="s">
        <v>7</v>
      </c>
      <c r="H31" t="str">
        <f>VLOOKUP(E31,data!$C$2:$U$103,5,FALSE)</f>
        <v>010 395 278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</row>
    <row r="32" spans="1:13" x14ac:dyDescent="0.5">
      <c r="A32" s="5">
        <v>2820800126</v>
      </c>
      <c r="B32" s="6" t="str">
        <f t="shared" si="0"/>
        <v>លោកស្រី វន និមល</v>
      </c>
      <c r="C32" s="6" t="s">
        <v>48</v>
      </c>
      <c r="D32" t="s">
        <v>307</v>
      </c>
      <c r="E32" t="s">
        <v>183</v>
      </c>
      <c r="F32" s="6" t="s">
        <v>435</v>
      </c>
      <c r="G32" t="s">
        <v>7</v>
      </c>
      <c r="H32" t="str">
        <f>VLOOKUP(E32,data!$C$2:$U$103,5,FALSE)</f>
        <v>012 270 266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</row>
    <row r="33" spans="1:13" x14ac:dyDescent="0.5">
      <c r="A33" s="5">
        <v>1680300330</v>
      </c>
      <c r="B33" s="6" t="str">
        <f t="shared" si="0"/>
        <v>លោក គំ ម៉េងហួ</v>
      </c>
      <c r="C33" s="6" t="s">
        <v>49</v>
      </c>
      <c r="D33" t="s">
        <v>308</v>
      </c>
      <c r="E33" t="s">
        <v>184</v>
      </c>
      <c r="F33" s="6" t="s">
        <v>434</v>
      </c>
      <c r="G33" t="s">
        <v>7</v>
      </c>
      <c r="H33" t="str">
        <f>VLOOKUP(E33,data!$C$2:$U$103,5,FALSE)</f>
        <v>017 627 545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</row>
    <row r="34" spans="1:13" x14ac:dyDescent="0.5">
      <c r="A34" s="5">
        <v>2920300428</v>
      </c>
      <c r="B34" s="6" t="str">
        <f t="shared" si="0"/>
        <v>លោកស្រី នីម ស៊ាងឡៃ</v>
      </c>
      <c r="C34" s="6" t="s">
        <v>50</v>
      </c>
      <c r="D34" t="s">
        <v>309</v>
      </c>
      <c r="E34" t="s">
        <v>185</v>
      </c>
      <c r="F34" s="6" t="s">
        <v>435</v>
      </c>
      <c r="G34" t="s">
        <v>7</v>
      </c>
      <c r="H34" t="str">
        <f>VLOOKUP(E34,data!$C$2:$U$103,5,FALSE)</f>
        <v>088 420 0517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</row>
    <row r="35" spans="1:13" x14ac:dyDescent="0.5">
      <c r="A35" s="5">
        <v>2870600141</v>
      </c>
      <c r="B35" s="6" t="str">
        <f t="shared" si="0"/>
        <v>លោកស្រី កែម ចាន់ធាង</v>
      </c>
      <c r="C35" s="6" t="s">
        <v>51</v>
      </c>
      <c r="D35" t="s">
        <v>310</v>
      </c>
      <c r="E35" t="s">
        <v>186</v>
      </c>
      <c r="F35" s="6" t="s">
        <v>435</v>
      </c>
      <c r="G35" t="s">
        <v>7</v>
      </c>
      <c r="H35" t="str">
        <f>VLOOKUP(E35,data!$C$2:$U$103,5,FALSE)</f>
        <v>089 544 911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</row>
    <row r="36" spans="1:13" x14ac:dyDescent="0.5">
      <c r="A36" s="5">
        <v>1920300193</v>
      </c>
      <c r="B36" s="6" t="str">
        <f t="shared" si="0"/>
        <v>លោក ឆន ពិសិទ្ធ</v>
      </c>
      <c r="C36" s="6" t="s">
        <v>52</v>
      </c>
      <c r="D36" t="s">
        <v>311</v>
      </c>
      <c r="E36" t="s">
        <v>187</v>
      </c>
      <c r="F36" s="6" t="s">
        <v>434</v>
      </c>
      <c r="G36" t="s">
        <v>7</v>
      </c>
      <c r="H36" t="str">
        <f>VLOOKUP(E36,data!$C$2:$U$103,5,FALSE)</f>
        <v>010 425 656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</row>
    <row r="37" spans="1:13" x14ac:dyDescent="0.5">
      <c r="A37" s="5">
        <v>1900300145</v>
      </c>
      <c r="B37" s="6" t="str">
        <f t="shared" si="0"/>
        <v>លោក ម៉ៅ កុសល</v>
      </c>
      <c r="C37" s="6" t="s">
        <v>53</v>
      </c>
      <c r="D37" t="s">
        <v>312</v>
      </c>
      <c r="E37" t="s">
        <v>188</v>
      </c>
      <c r="F37" s="6" t="s">
        <v>434</v>
      </c>
      <c r="G37" t="s">
        <v>7</v>
      </c>
      <c r="H37" t="str">
        <f>VLOOKUP(E37,data!$C$2:$U$103,5,FALSE)</f>
        <v>097 922 7898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</row>
    <row r="38" spans="1:13" x14ac:dyDescent="0.5">
      <c r="A38" s="5">
        <v>2930300307</v>
      </c>
      <c r="B38" s="6" t="str">
        <f t="shared" si="0"/>
        <v>លោកស្រី ស៊ាន វាសនា</v>
      </c>
      <c r="C38" s="6" t="s">
        <v>54</v>
      </c>
      <c r="D38" t="s">
        <v>313</v>
      </c>
      <c r="E38" t="s">
        <v>189</v>
      </c>
      <c r="F38" s="6" t="s">
        <v>435</v>
      </c>
      <c r="G38" t="s">
        <v>7</v>
      </c>
      <c r="H38" t="str">
        <f>VLOOKUP(E38,data!$C$2:$U$103,5,FALSE)</f>
        <v>096 594 3920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</row>
    <row r="39" spans="1:13" x14ac:dyDescent="0.5">
      <c r="A39" s="5">
        <v>1670300249</v>
      </c>
      <c r="B39" s="6" t="str">
        <f t="shared" si="0"/>
        <v>លោក លី ភីរិទ្ធ</v>
      </c>
      <c r="C39" s="6" t="s">
        <v>55</v>
      </c>
      <c r="D39" t="s">
        <v>314</v>
      </c>
      <c r="E39" t="s">
        <v>190</v>
      </c>
      <c r="F39" s="6" t="s">
        <v>434</v>
      </c>
      <c r="G39" t="s">
        <v>7</v>
      </c>
      <c r="H39" t="str">
        <f>VLOOKUP(E39,data!$C$2:$U$103,5,FALSE)</f>
        <v>011 779 750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</row>
    <row r="40" spans="1:13" x14ac:dyDescent="0.5">
      <c r="A40" s="5">
        <v>2750300112</v>
      </c>
      <c r="B40" s="6" t="str">
        <f t="shared" si="0"/>
        <v>លោកស្រី ទុំ ស៊ីសុភារ៉េត</v>
      </c>
      <c r="C40" s="6" t="s">
        <v>56</v>
      </c>
      <c r="D40" t="s">
        <v>315</v>
      </c>
      <c r="E40" t="s">
        <v>191</v>
      </c>
      <c r="F40" s="6" t="s">
        <v>435</v>
      </c>
      <c r="G40" t="s">
        <v>7</v>
      </c>
      <c r="H40" t="str">
        <f>VLOOKUP(E40,data!$C$2:$U$103,5,FALSE)</f>
        <v>012 774 020</v>
      </c>
      <c r="I40" t="s">
        <v>7</v>
      </c>
      <c r="J40" t="s">
        <v>7</v>
      </c>
      <c r="K40" t="s">
        <v>7</v>
      </c>
      <c r="L40" t="s">
        <v>7</v>
      </c>
      <c r="M40" t="s">
        <v>7</v>
      </c>
    </row>
    <row r="41" spans="1:13" x14ac:dyDescent="0.5">
      <c r="A41" s="5">
        <v>2800300262</v>
      </c>
      <c r="B41" s="6" t="str">
        <f t="shared" si="0"/>
        <v>លោកស្រី ភួង ច័ន្ទលាភី</v>
      </c>
      <c r="C41" s="6" t="s">
        <v>57</v>
      </c>
      <c r="D41" t="s">
        <v>316</v>
      </c>
      <c r="E41" t="s">
        <v>192</v>
      </c>
      <c r="F41" s="6" t="s">
        <v>435</v>
      </c>
      <c r="G41" t="s">
        <v>7</v>
      </c>
      <c r="H41" t="str">
        <f>VLOOKUP(E41,data!$C$2:$U$103,5,FALSE)</f>
        <v>089 881 846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</row>
    <row r="42" spans="1:13" x14ac:dyDescent="0.5">
      <c r="A42" s="5">
        <v>1840300118</v>
      </c>
      <c r="B42" s="6" t="str">
        <f t="shared" si="0"/>
        <v>លោក ហ៊ុល ពិសិដ្ឋ</v>
      </c>
      <c r="C42" s="6" t="s">
        <v>58</v>
      </c>
      <c r="D42" t="s">
        <v>317</v>
      </c>
      <c r="E42" t="s">
        <v>193</v>
      </c>
      <c r="F42" s="6" t="s">
        <v>434</v>
      </c>
      <c r="G42" t="s">
        <v>7</v>
      </c>
      <c r="H42" t="str">
        <f>VLOOKUP(E42,data!$C$2:$U$103,5,FALSE)</f>
        <v>092 382 838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</row>
    <row r="43" spans="1:13" x14ac:dyDescent="0.5">
      <c r="A43" s="5">
        <v>1840600176</v>
      </c>
      <c r="B43" s="6" t="str">
        <f t="shared" si="0"/>
        <v>លោក យ៉ុង គឹមយី</v>
      </c>
      <c r="C43" s="6" t="s">
        <v>59</v>
      </c>
      <c r="D43" t="s">
        <v>318</v>
      </c>
      <c r="E43" t="s">
        <v>194</v>
      </c>
      <c r="F43" s="6" t="s">
        <v>434</v>
      </c>
      <c r="G43" t="s">
        <v>7</v>
      </c>
      <c r="H43" t="str">
        <f>VLOOKUP(E43,data!$C$2:$U$103,5,FALSE)</f>
        <v>092 777 221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</row>
    <row r="44" spans="1:13" x14ac:dyDescent="0.5">
      <c r="A44" s="5">
        <v>1820300058</v>
      </c>
      <c r="B44" s="6" t="str">
        <f t="shared" si="0"/>
        <v>លោក ជា សោភ័ណ្ឌសារៈ</v>
      </c>
      <c r="C44" s="6" t="s">
        <v>60</v>
      </c>
      <c r="D44" t="s">
        <v>319</v>
      </c>
      <c r="E44" t="s">
        <v>195</v>
      </c>
      <c r="F44" s="6" t="s">
        <v>434</v>
      </c>
      <c r="G44" t="s">
        <v>7</v>
      </c>
      <c r="H44" t="str">
        <f>VLOOKUP(E44,data!$C$2:$U$103,5,FALSE)</f>
        <v>092 605 484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</row>
    <row r="45" spans="1:13" x14ac:dyDescent="0.5">
      <c r="A45" s="5">
        <v>1710300321</v>
      </c>
      <c r="B45" s="6" t="str">
        <f t="shared" si="0"/>
        <v>លោក ហេង សុខា</v>
      </c>
      <c r="C45" s="6" t="s">
        <v>61</v>
      </c>
      <c r="D45" t="s">
        <v>320</v>
      </c>
      <c r="E45" t="s">
        <v>196</v>
      </c>
      <c r="F45" s="6" t="s">
        <v>434</v>
      </c>
      <c r="G45" t="s">
        <v>7</v>
      </c>
      <c r="H45" t="str">
        <f>VLOOKUP(E45,data!$C$2:$U$103,5,FALSE)</f>
        <v>077 510 721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</row>
    <row r="46" spans="1:13" x14ac:dyDescent="0.5">
      <c r="A46" s="5">
        <v>1820300041</v>
      </c>
      <c r="B46" s="6" t="str">
        <f t="shared" si="0"/>
        <v>លោក យួក សុខឃឿន</v>
      </c>
      <c r="C46" s="6" t="s">
        <v>62</v>
      </c>
      <c r="D46" t="s">
        <v>321</v>
      </c>
      <c r="E46" t="s">
        <v>197</v>
      </c>
      <c r="F46" s="6" t="s">
        <v>434</v>
      </c>
      <c r="H46" t="str">
        <f>VLOOKUP(E46,data!$C$2:$U$103,5,FALSE)</f>
        <v>012 305 156</v>
      </c>
    </row>
    <row r="47" spans="1:13" x14ac:dyDescent="0.5">
      <c r="A47" s="5">
        <v>2820300165</v>
      </c>
      <c r="B47" s="6" t="str">
        <f t="shared" si="0"/>
        <v>លោកស្រី នី រដ្ឋា</v>
      </c>
      <c r="C47" s="6" t="s">
        <v>63</v>
      </c>
      <c r="D47" t="s">
        <v>322</v>
      </c>
      <c r="E47" t="s">
        <v>198</v>
      </c>
      <c r="F47" s="6" t="s">
        <v>435</v>
      </c>
      <c r="H47" t="str">
        <f>VLOOKUP(E47,data!$C$2:$U$103,5,FALSE)</f>
        <v>012 214 128</v>
      </c>
    </row>
    <row r="48" spans="1:13" x14ac:dyDescent="0.5">
      <c r="A48" s="5">
        <v>2702100269</v>
      </c>
      <c r="B48" s="6" t="str">
        <f t="shared" si="0"/>
        <v>លោកស្រី ឈុន មួយលី</v>
      </c>
      <c r="C48" s="6" t="s">
        <v>64</v>
      </c>
      <c r="D48" t="s">
        <v>323</v>
      </c>
      <c r="E48" t="s">
        <v>199</v>
      </c>
      <c r="F48" s="6" t="s">
        <v>435</v>
      </c>
      <c r="H48" t="str">
        <f>VLOOKUP(E48,data!$C$2:$U$103,5,FALSE)</f>
        <v>077 499 776</v>
      </c>
    </row>
    <row r="49" spans="1:8" x14ac:dyDescent="0.5">
      <c r="A49" s="5">
        <v>1872100269</v>
      </c>
      <c r="B49" s="6" t="str">
        <f t="shared" si="0"/>
        <v>លោក កែម បូរី</v>
      </c>
      <c r="C49" s="6" t="s">
        <v>65</v>
      </c>
      <c r="D49" t="s">
        <v>324</v>
      </c>
      <c r="E49" t="s">
        <v>200</v>
      </c>
      <c r="F49" s="6" t="s">
        <v>434</v>
      </c>
      <c r="H49" t="str">
        <f>VLOOKUP(E49,data!$C$2:$U$103,5,FALSE)</f>
        <v>088 666 6584</v>
      </c>
    </row>
    <row r="50" spans="1:8" x14ac:dyDescent="0.5">
      <c r="A50" s="5">
        <v>1821000140</v>
      </c>
      <c r="B50" s="6" t="str">
        <f t="shared" si="0"/>
        <v>លោក ពៅ សុផល</v>
      </c>
      <c r="C50" s="6" t="s">
        <v>66</v>
      </c>
      <c r="D50" t="s">
        <v>325</v>
      </c>
      <c r="E50" t="s">
        <v>201</v>
      </c>
      <c r="F50" s="6" t="s">
        <v>434</v>
      </c>
      <c r="H50" t="str">
        <f>VLOOKUP(E50,data!$C$2:$U$103,5,FALSE)</f>
        <v>012 642 528</v>
      </c>
    </row>
    <row r="51" spans="1:8" x14ac:dyDescent="0.5">
      <c r="A51" s="5">
        <v>1860300387</v>
      </c>
      <c r="B51" s="6" t="str">
        <f t="shared" si="0"/>
        <v>លោក ហូយ ធារី</v>
      </c>
      <c r="C51" s="6" t="s">
        <v>67</v>
      </c>
      <c r="D51" t="s">
        <v>326</v>
      </c>
      <c r="E51" t="s">
        <v>202</v>
      </c>
      <c r="F51" s="6" t="s">
        <v>434</v>
      </c>
      <c r="H51" t="str">
        <f>VLOOKUP(E51,data!$C$2:$U$103,5,FALSE)</f>
        <v>017 687 802</v>
      </c>
    </row>
    <row r="52" spans="1:8" x14ac:dyDescent="0.5">
      <c r="A52" s="5">
        <v>2910300320</v>
      </c>
      <c r="B52" s="6" t="str">
        <f t="shared" si="0"/>
        <v>លោកស្រី បោង អេងឡាង</v>
      </c>
      <c r="C52" s="6" t="s">
        <v>68</v>
      </c>
      <c r="D52" t="s">
        <v>327</v>
      </c>
      <c r="E52" t="s">
        <v>203</v>
      </c>
      <c r="F52" s="6" t="s">
        <v>435</v>
      </c>
      <c r="H52" t="str">
        <f>VLOOKUP(E52,data!$C$2:$U$103,5,FALSE)</f>
        <v>096 285 9414</v>
      </c>
    </row>
    <row r="53" spans="1:8" x14ac:dyDescent="0.5">
      <c r="A53" s="5">
        <v>1920300331</v>
      </c>
      <c r="B53" s="6" t="str">
        <f t="shared" si="0"/>
        <v>លោក ឈុំ លាង</v>
      </c>
      <c r="C53" s="6" t="s">
        <v>69</v>
      </c>
      <c r="D53" t="s">
        <v>328</v>
      </c>
      <c r="E53" t="s">
        <v>204</v>
      </c>
      <c r="F53" s="6" t="s">
        <v>434</v>
      </c>
      <c r="H53" t="str">
        <f>VLOOKUP(E53,data!$C$2:$U$103,5,FALSE)</f>
        <v>010 365 233</v>
      </c>
    </row>
    <row r="54" spans="1:8" x14ac:dyDescent="0.5">
      <c r="A54" s="5">
        <v>1904800001</v>
      </c>
      <c r="B54" s="6" t="str">
        <f t="shared" si="0"/>
        <v>លោក សន រិទ្ធី</v>
      </c>
      <c r="C54" s="6" t="s">
        <v>70</v>
      </c>
      <c r="D54" t="s">
        <v>329</v>
      </c>
      <c r="E54" t="s">
        <v>205</v>
      </c>
      <c r="F54" s="6" t="s">
        <v>434</v>
      </c>
      <c r="H54" t="str">
        <f>VLOOKUP(E54,data!$C$2:$U$103,5,FALSE)</f>
        <v>085 616 633</v>
      </c>
    </row>
    <row r="55" spans="1:8" x14ac:dyDescent="0.5">
      <c r="A55" s="5">
        <v>1910800280</v>
      </c>
      <c r="B55" s="6" t="str">
        <f t="shared" si="0"/>
        <v>លោក មៀច ធុយ</v>
      </c>
      <c r="C55" s="6" t="s">
        <v>71</v>
      </c>
      <c r="D55" t="s">
        <v>330</v>
      </c>
      <c r="E55" t="s">
        <v>206</v>
      </c>
      <c r="F55" s="6" t="s">
        <v>434</v>
      </c>
      <c r="H55" t="str">
        <f>VLOOKUP(E55,data!$C$2:$U$103,5,FALSE)</f>
        <v>096 393 9987</v>
      </c>
    </row>
    <row r="56" spans="1:8" x14ac:dyDescent="0.5">
      <c r="A56" s="5">
        <v>1811400192</v>
      </c>
      <c r="B56" s="6" t="str">
        <f t="shared" si="0"/>
        <v>លោក ទូច ប៊ុនឈីម</v>
      </c>
      <c r="C56" s="6" t="s">
        <v>72</v>
      </c>
      <c r="D56" t="s">
        <v>331</v>
      </c>
      <c r="E56" t="s">
        <v>207</v>
      </c>
      <c r="F56" s="6" t="s">
        <v>434</v>
      </c>
      <c r="H56" t="str">
        <f>VLOOKUP(E56,data!$C$2:$U$103,5,FALSE)</f>
        <v>015 529 398</v>
      </c>
    </row>
    <row r="57" spans="1:8" x14ac:dyDescent="0.5">
      <c r="A57" s="5">
        <v>2840300235</v>
      </c>
      <c r="B57" s="6" t="str">
        <f t="shared" si="0"/>
        <v>លោកស្រី ខាត់ ស្រីឡូត</v>
      </c>
      <c r="C57" s="6" t="s">
        <v>73</v>
      </c>
      <c r="D57" t="s">
        <v>332</v>
      </c>
      <c r="E57" t="s">
        <v>208</v>
      </c>
      <c r="F57" s="6" t="s">
        <v>435</v>
      </c>
      <c r="H57" t="str">
        <f>VLOOKUP(E57,data!$C$2:$U$103,5,FALSE)</f>
        <v>012 404 841</v>
      </c>
    </row>
    <row r="58" spans="1:8" x14ac:dyDescent="0.5">
      <c r="A58" s="5">
        <v>1680300327</v>
      </c>
      <c r="B58" s="6" t="str">
        <f t="shared" si="0"/>
        <v>លោក ហេង ខេង</v>
      </c>
      <c r="C58" s="6" t="s">
        <v>74</v>
      </c>
      <c r="D58" t="s">
        <v>333</v>
      </c>
      <c r="E58" t="s">
        <v>209</v>
      </c>
      <c r="F58" s="6" t="s">
        <v>434</v>
      </c>
      <c r="H58" t="str">
        <f>VLOOKUP(E58,data!$C$2:$U$103,5,FALSE)</f>
        <v>097 999 2928</v>
      </c>
    </row>
    <row r="59" spans="1:8" x14ac:dyDescent="0.5">
      <c r="A59" s="5">
        <v>1730500353</v>
      </c>
      <c r="B59" s="6" t="str">
        <f t="shared" si="0"/>
        <v>លោក ទេព បុណ្ណមី</v>
      </c>
      <c r="C59" s="6" t="s">
        <v>75</v>
      </c>
      <c r="D59" t="s">
        <v>334</v>
      </c>
      <c r="E59" t="s">
        <v>210</v>
      </c>
      <c r="F59" s="6" t="s">
        <v>434</v>
      </c>
      <c r="H59" t="str">
        <f>VLOOKUP(E59,data!$C$2:$U$103,5,FALSE)</f>
        <v>016 459 757</v>
      </c>
    </row>
    <row r="60" spans="1:8" x14ac:dyDescent="0.5">
      <c r="A60" s="5">
        <v>1930700107</v>
      </c>
      <c r="B60" s="6" t="str">
        <f t="shared" si="0"/>
        <v>លោក ង៉ែត សុទ្ធា</v>
      </c>
      <c r="C60" s="6" t="s">
        <v>76</v>
      </c>
      <c r="D60" t="s">
        <v>335</v>
      </c>
      <c r="E60" t="s">
        <v>211</v>
      </c>
      <c r="F60" s="6" t="s">
        <v>434</v>
      </c>
      <c r="H60" t="str">
        <f>VLOOKUP(E60,data!$C$2:$U$103,5,FALSE)</f>
        <v>096 995 6036</v>
      </c>
    </row>
    <row r="61" spans="1:8" x14ac:dyDescent="0.5">
      <c r="A61" s="5">
        <v>1680800830</v>
      </c>
      <c r="B61" s="6" t="str">
        <f t="shared" si="0"/>
        <v>លោក ព្រំ បូរ៉ាត</v>
      </c>
      <c r="C61" s="6" t="s">
        <v>77</v>
      </c>
      <c r="D61" t="s">
        <v>336</v>
      </c>
      <c r="E61" t="s">
        <v>212</v>
      </c>
      <c r="F61" s="6" t="s">
        <v>434</v>
      </c>
      <c r="H61" t="str">
        <f>VLOOKUP(E61,data!$C$2:$U$103,5,FALSE)</f>
        <v>012 433 143</v>
      </c>
    </row>
    <row r="62" spans="1:8" x14ac:dyDescent="0.5">
      <c r="A62" s="5">
        <v>2690300192</v>
      </c>
      <c r="B62" s="6" t="str">
        <f t="shared" si="0"/>
        <v>លោកស្រី ស៊ឹម ស៊ីណាត</v>
      </c>
      <c r="C62" s="6" t="s">
        <v>78</v>
      </c>
      <c r="D62" t="s">
        <v>337</v>
      </c>
      <c r="E62" t="s">
        <v>213</v>
      </c>
      <c r="F62" s="6" t="s">
        <v>435</v>
      </c>
      <c r="H62" t="str">
        <f>VLOOKUP(E62,data!$C$2:$U$103,5,FALSE)</f>
        <v>077 559 967</v>
      </c>
    </row>
    <row r="63" spans="1:8" x14ac:dyDescent="0.5">
      <c r="A63" s="5">
        <v>1800800450</v>
      </c>
      <c r="B63" s="6" t="str">
        <f t="shared" si="0"/>
        <v>លោក ព្រហ្ម មុន្នី</v>
      </c>
      <c r="C63" s="6" t="s">
        <v>79</v>
      </c>
      <c r="D63" t="s">
        <v>338</v>
      </c>
      <c r="E63" t="s">
        <v>214</v>
      </c>
      <c r="F63" s="6" t="s">
        <v>434</v>
      </c>
      <c r="H63" t="str">
        <f>VLOOKUP(E63,data!$C$2:$U$103,5,FALSE)</f>
        <v>092 737 648</v>
      </c>
    </row>
    <row r="64" spans="1:8" x14ac:dyDescent="0.5">
      <c r="A64" s="5">
        <v>1680300367</v>
      </c>
      <c r="B64" s="6" t="str">
        <f t="shared" si="0"/>
        <v>លោក ទេព ជីវសុទ្ធា</v>
      </c>
      <c r="C64" s="6" t="s">
        <v>80</v>
      </c>
      <c r="D64" t="s">
        <v>339</v>
      </c>
      <c r="E64" t="s">
        <v>215</v>
      </c>
      <c r="F64" s="6" t="s">
        <v>434</v>
      </c>
      <c r="H64" t="str">
        <f>VLOOKUP(E64,data!$C$2:$U$103,5,FALSE)</f>
        <v>092 902 511</v>
      </c>
    </row>
    <row r="65" spans="1:8" x14ac:dyDescent="0.5">
      <c r="A65" s="5">
        <v>2680300173</v>
      </c>
      <c r="B65" s="6" t="str">
        <f t="shared" si="0"/>
        <v>លោកស្រី មិត្ត ណារ៉េត</v>
      </c>
      <c r="C65" s="6" t="s">
        <v>81</v>
      </c>
      <c r="D65" t="s">
        <v>340</v>
      </c>
      <c r="E65" t="s">
        <v>216</v>
      </c>
      <c r="F65" s="6" t="s">
        <v>435</v>
      </c>
      <c r="H65" t="str">
        <f>VLOOKUP(E65,data!$C$2:$U$103,5,FALSE)</f>
        <v>012 550 812</v>
      </c>
    </row>
    <row r="66" spans="1:8" x14ac:dyDescent="0.5">
      <c r="A66" s="5">
        <v>1831200363</v>
      </c>
      <c r="B66" s="6" t="str">
        <f t="shared" si="0"/>
        <v>លោក សេង សត្យា</v>
      </c>
      <c r="C66" s="6" t="s">
        <v>82</v>
      </c>
      <c r="D66" t="s">
        <v>341</v>
      </c>
      <c r="E66" t="s">
        <v>217</v>
      </c>
      <c r="F66" s="6" t="s">
        <v>434</v>
      </c>
      <c r="H66" t="str">
        <f>VLOOKUP(E66,data!$C$2:$U$103,5,FALSE)</f>
        <v>010 420 637</v>
      </c>
    </row>
    <row r="67" spans="1:8" x14ac:dyDescent="0.5">
      <c r="A67" s="5">
        <v>1860300283</v>
      </c>
      <c r="B67" s="6" t="str">
        <f t="shared" ref="B67:B130" si="1">IF(F67="ប្រុស","លោក "&amp;C67,"លោកស្រី "&amp;C67)</f>
        <v>លោក ឌឿន អ៊ី</v>
      </c>
      <c r="C67" s="6" t="s">
        <v>690</v>
      </c>
      <c r="D67" t="s">
        <v>342</v>
      </c>
      <c r="E67" t="s">
        <v>218</v>
      </c>
      <c r="F67" s="6" t="s">
        <v>434</v>
      </c>
      <c r="H67" t="str">
        <f>VLOOKUP(E67,data!$C$2:$U$103,5,FALSE)</f>
        <v>099 283 783</v>
      </c>
    </row>
    <row r="68" spans="1:8" x14ac:dyDescent="0.5">
      <c r="A68" s="5">
        <v>2830300017</v>
      </c>
      <c r="B68" s="6" t="str">
        <f t="shared" si="1"/>
        <v>លោកស្រី កេត ធីតា</v>
      </c>
      <c r="C68" s="6" t="s">
        <v>83</v>
      </c>
      <c r="D68" t="s">
        <v>343</v>
      </c>
      <c r="E68" t="s">
        <v>219</v>
      </c>
      <c r="F68" s="6" t="s">
        <v>435</v>
      </c>
      <c r="H68" t="str">
        <f>VLOOKUP(E68,data!$C$2:$U$103,5,FALSE)</f>
        <v>012 933 475</v>
      </c>
    </row>
    <row r="69" spans="1:8" x14ac:dyDescent="0.5">
      <c r="A69" s="5">
        <v>1901200129</v>
      </c>
      <c r="B69" s="6" t="str">
        <f t="shared" si="1"/>
        <v>លោក ជា បញ្ញា</v>
      </c>
      <c r="C69" s="6" t="s">
        <v>84</v>
      </c>
      <c r="D69" t="s">
        <v>344</v>
      </c>
      <c r="E69" t="s">
        <v>220</v>
      </c>
      <c r="F69" s="6" t="s">
        <v>434</v>
      </c>
      <c r="H69" t="str">
        <f>VLOOKUP(E69,data!$C$2:$U$103,5,FALSE)</f>
        <v>089 930 667</v>
      </c>
    </row>
    <row r="70" spans="1:8" x14ac:dyDescent="0.5">
      <c r="A70" s="5">
        <v>2670800184</v>
      </c>
      <c r="B70" s="6" t="str">
        <f t="shared" si="1"/>
        <v>លោកស្រី ឃៀង អេងស៊ីម</v>
      </c>
      <c r="C70" s="6" t="s">
        <v>85</v>
      </c>
      <c r="D70" t="s">
        <v>345</v>
      </c>
      <c r="E70" t="s">
        <v>221</v>
      </c>
      <c r="F70" s="6" t="s">
        <v>435</v>
      </c>
      <c r="H70" t="str">
        <f>VLOOKUP(E70,data!$C$2:$U$103,5,FALSE)</f>
        <v>011 403 688</v>
      </c>
    </row>
    <row r="71" spans="1:8" x14ac:dyDescent="0.5">
      <c r="A71" s="5">
        <v>1840300396</v>
      </c>
      <c r="B71" s="6" t="str">
        <f t="shared" si="1"/>
        <v>លោក ស្រ៊ុន សុភក្ត្រ</v>
      </c>
      <c r="C71" s="6" t="s">
        <v>86</v>
      </c>
      <c r="D71" t="s">
        <v>346</v>
      </c>
      <c r="E71" t="s">
        <v>222</v>
      </c>
      <c r="F71" s="6" t="s">
        <v>434</v>
      </c>
      <c r="H71" t="str">
        <f>VLOOKUP(E71,data!$C$2:$U$103,5,FALSE)</f>
        <v>061 414 646</v>
      </c>
    </row>
    <row r="72" spans="1:8" x14ac:dyDescent="0.5">
      <c r="A72" s="5">
        <v>1850800312</v>
      </c>
      <c r="B72" s="6" t="str">
        <f t="shared" si="1"/>
        <v>លោក ឃិត លីដា</v>
      </c>
      <c r="C72" s="6" t="s">
        <v>87</v>
      </c>
      <c r="D72" t="s">
        <v>347</v>
      </c>
      <c r="E72" t="s">
        <v>223</v>
      </c>
      <c r="F72" s="6" t="s">
        <v>434</v>
      </c>
      <c r="H72" t="str">
        <f>VLOOKUP(E72,data!$C$2:$U$103,5,FALSE)</f>
        <v>098​​ 6161 63</v>
      </c>
    </row>
    <row r="73" spans="1:8" x14ac:dyDescent="0.5">
      <c r="A73" s="5">
        <v>1850300085</v>
      </c>
      <c r="B73" s="6" t="str">
        <f t="shared" si="1"/>
        <v>លោក ញឹម ស៊ាងលាភ</v>
      </c>
      <c r="C73" s="6" t="s">
        <v>88</v>
      </c>
      <c r="D73" t="s">
        <v>348</v>
      </c>
      <c r="E73" t="s">
        <v>224</v>
      </c>
      <c r="F73" s="6" t="s">
        <v>434</v>
      </c>
      <c r="H73" t="str">
        <f>VLOOKUP(E73,data!$C$2:$U$103,5,FALSE)</f>
        <v>078 600 636</v>
      </c>
    </row>
    <row r="74" spans="1:8" x14ac:dyDescent="0.5">
      <c r="A74" s="5">
        <v>2871400116</v>
      </c>
      <c r="B74" s="6" t="str">
        <f t="shared" si="1"/>
        <v>លោកស្រី ឃាង ចាន់ដេត</v>
      </c>
      <c r="C74" s="6" t="s">
        <v>89</v>
      </c>
      <c r="D74" t="s">
        <v>349</v>
      </c>
      <c r="E74" t="s">
        <v>225</v>
      </c>
      <c r="F74" s="6" t="s">
        <v>435</v>
      </c>
      <c r="H74" t="str">
        <f>VLOOKUP(E74,data!$C$2:$U$103,5,FALSE)</f>
        <v>015 953 435</v>
      </c>
    </row>
    <row r="75" spans="1:8" x14ac:dyDescent="0.5">
      <c r="A75" s="5">
        <v>2900300321</v>
      </c>
      <c r="B75" s="6" t="str">
        <f t="shared" si="1"/>
        <v>លោកស្រី ផល្លា សុម៉ាលីណា</v>
      </c>
      <c r="C75" s="6" t="s">
        <v>90</v>
      </c>
      <c r="D75" t="s">
        <v>350</v>
      </c>
      <c r="E75" t="s">
        <v>226</v>
      </c>
      <c r="F75" s="6" t="s">
        <v>435</v>
      </c>
      <c r="H75" t="str">
        <f>VLOOKUP(E75,data!$C$2:$U$103,5,FALSE)</f>
        <v>015 440 254</v>
      </c>
    </row>
    <row r="76" spans="1:8" x14ac:dyDescent="0.5">
      <c r="A76" s="5">
        <v>2870300008</v>
      </c>
      <c r="B76" s="6" t="str">
        <f t="shared" si="1"/>
        <v>លោកស្រី ជឹង លីដា</v>
      </c>
      <c r="C76" s="6" t="s">
        <v>91</v>
      </c>
      <c r="D76" t="s">
        <v>351</v>
      </c>
      <c r="E76" t="s">
        <v>227</v>
      </c>
      <c r="F76" s="6" t="s">
        <v>435</v>
      </c>
      <c r="H76" t="str">
        <f>VLOOKUP(E76,data!$C$2:$U$103,5,FALSE)</f>
        <v>017 661 686</v>
      </c>
    </row>
    <row r="77" spans="1:8" x14ac:dyDescent="0.5">
      <c r="A77" s="5">
        <v>1901200130</v>
      </c>
      <c r="B77" s="6" t="str">
        <f t="shared" si="1"/>
        <v>លោក មុំ វិចិត្រា</v>
      </c>
      <c r="C77" s="6" t="s">
        <v>92</v>
      </c>
      <c r="D77" t="s">
        <v>352</v>
      </c>
      <c r="E77" t="s">
        <v>228</v>
      </c>
      <c r="F77" s="6" t="s">
        <v>434</v>
      </c>
      <c r="H77" t="str">
        <f>VLOOKUP(E77,data!$C$2:$U$103,5,FALSE)</f>
        <v>097 248 6868</v>
      </c>
    </row>
    <row r="78" spans="1:8" x14ac:dyDescent="0.5">
      <c r="A78" s="5">
        <v>2860300359</v>
      </c>
      <c r="B78" s="6" t="str">
        <f t="shared" si="1"/>
        <v>លោកស្រី មឿន សុខា</v>
      </c>
      <c r="C78" s="6" t="s">
        <v>93</v>
      </c>
      <c r="D78" t="s">
        <v>353</v>
      </c>
      <c r="E78" t="s">
        <v>229</v>
      </c>
      <c r="F78" s="6" t="s">
        <v>435</v>
      </c>
      <c r="H78" t="str">
        <f>VLOOKUP(E78,data!$C$2:$U$103,5,FALSE)</f>
        <v>092 833681</v>
      </c>
    </row>
    <row r="79" spans="1:8" x14ac:dyDescent="0.5">
      <c r="A79" s="5">
        <v>2680300175</v>
      </c>
      <c r="B79" s="6" t="str">
        <f t="shared" si="1"/>
        <v>លោកស្រី ហម ហ្គេចលាង</v>
      </c>
      <c r="C79" s="6" t="s">
        <v>94</v>
      </c>
      <c r="D79" t="s">
        <v>354</v>
      </c>
      <c r="E79" t="s">
        <v>230</v>
      </c>
      <c r="F79" s="6" t="s">
        <v>435</v>
      </c>
      <c r="H79" t="str">
        <f>VLOOKUP(E79,data!$C$2:$U$103,5,FALSE)</f>
        <v>012 584 338</v>
      </c>
    </row>
    <row r="80" spans="1:8" x14ac:dyDescent="0.5">
      <c r="A80" s="5">
        <v>1690300388</v>
      </c>
      <c r="B80" s="6" t="str">
        <f t="shared" si="1"/>
        <v>លោក តាំង ស៊ីភឿន</v>
      </c>
      <c r="C80" s="6" t="s">
        <v>95</v>
      </c>
      <c r="D80" t="s">
        <v>355</v>
      </c>
      <c r="E80" t="s">
        <v>231</v>
      </c>
      <c r="F80" s="6" t="s">
        <v>434</v>
      </c>
      <c r="H80" t="str">
        <f>VLOOKUP(E80,data!$C$2:$U$103,5,FALSE)</f>
        <v>012 236 891</v>
      </c>
    </row>
    <row r="81" spans="1:8" x14ac:dyDescent="0.5">
      <c r="A81" s="5">
        <v>1690300442</v>
      </c>
      <c r="B81" s="6" t="str">
        <f t="shared" si="1"/>
        <v>លោក ផាន់ ហាច</v>
      </c>
      <c r="C81" s="6" t="s">
        <v>96</v>
      </c>
      <c r="D81" t="s">
        <v>356</v>
      </c>
      <c r="E81" t="s">
        <v>232</v>
      </c>
      <c r="F81" s="6" t="s">
        <v>434</v>
      </c>
      <c r="H81" t="str">
        <f>VLOOKUP(E81,data!$C$2:$U$103,5,FALSE)</f>
        <v>011 205 871</v>
      </c>
    </row>
    <row r="82" spans="1:8" x14ac:dyDescent="0.5">
      <c r="A82" s="5">
        <v>2800300061</v>
      </c>
      <c r="B82" s="6" t="str">
        <f t="shared" si="1"/>
        <v>លោកស្រី ឡុង ភិរម្យ</v>
      </c>
      <c r="C82" s="6" t="s">
        <v>97</v>
      </c>
      <c r="D82" t="s">
        <v>357</v>
      </c>
      <c r="E82" t="s">
        <v>233</v>
      </c>
      <c r="F82" s="6" t="s">
        <v>435</v>
      </c>
      <c r="H82" t="str">
        <f>VLOOKUP(E82,data!$C$2:$U$103,5,FALSE)</f>
        <v>016 376 387</v>
      </c>
    </row>
    <row r="83" spans="1:8" x14ac:dyDescent="0.5">
      <c r="A83" s="5">
        <v>2700300301</v>
      </c>
      <c r="B83" s="6" t="str">
        <f t="shared" si="1"/>
        <v>លោកស្រី កន ឈុននី</v>
      </c>
      <c r="C83" s="6" t="s">
        <v>98</v>
      </c>
      <c r="D83" t="s">
        <v>358</v>
      </c>
      <c r="E83" t="s">
        <v>234</v>
      </c>
      <c r="F83" s="6" t="s">
        <v>435</v>
      </c>
      <c r="H83" t="str">
        <f>VLOOKUP(E83,data!$C$2:$U$103,5,FALSE)</f>
        <v>092 740​ ​682</v>
      </c>
    </row>
    <row r="84" spans="1:8" x14ac:dyDescent="0.5">
      <c r="A84" s="5">
        <v>1690300322</v>
      </c>
      <c r="B84" s="6" t="str">
        <f t="shared" si="1"/>
        <v>លោក សឹងហ៊ីណារុំ</v>
      </c>
      <c r="C84" s="6" t="s">
        <v>99</v>
      </c>
      <c r="D84" t="s">
        <v>359</v>
      </c>
      <c r="E84" t="s">
        <v>235</v>
      </c>
      <c r="F84" s="6" t="s">
        <v>434</v>
      </c>
      <c r="H84" t="str">
        <f>VLOOKUP(E84,data!$C$2:$U$103,5,FALSE)</f>
        <v>096 627 8992</v>
      </c>
    </row>
    <row r="85" spans="1:8" x14ac:dyDescent="0.5">
      <c r="A85" s="5">
        <v>1730300451</v>
      </c>
      <c r="B85" s="6" t="str">
        <f t="shared" si="1"/>
        <v>លោក កង ថុល</v>
      </c>
      <c r="C85" s="6" t="s">
        <v>100</v>
      </c>
      <c r="D85" t="s">
        <v>360</v>
      </c>
      <c r="E85" t="s">
        <v>236</v>
      </c>
      <c r="F85" s="6" t="s">
        <v>434</v>
      </c>
      <c r="H85" t="str">
        <f>VLOOKUP(E85,data!$C$2:$U$103,5,FALSE)</f>
        <v>092 808 363</v>
      </c>
    </row>
    <row r="86" spans="1:8" x14ac:dyDescent="0.5">
      <c r="A86" s="5">
        <v>2780300027</v>
      </c>
      <c r="B86" s="6" t="str">
        <f t="shared" si="1"/>
        <v>លោកស្រី ទិត លក្ខិណា</v>
      </c>
      <c r="C86" s="6" t="s">
        <v>101</v>
      </c>
      <c r="D86" t="s">
        <v>361</v>
      </c>
      <c r="E86" t="s">
        <v>237</v>
      </c>
      <c r="F86" s="6" t="s">
        <v>435</v>
      </c>
      <c r="H86" t="str">
        <f>VLOOKUP(E86,data!$C$2:$U$103,5,FALSE)</f>
        <v>017 763 571</v>
      </c>
    </row>
    <row r="87" spans="1:8" x14ac:dyDescent="0.5">
      <c r="A87" s="5">
        <v>2810300025</v>
      </c>
      <c r="B87" s="6" t="str">
        <f t="shared" si="1"/>
        <v>លោកស្រី គឹម សុកញ្ញា</v>
      </c>
      <c r="C87" s="6" t="s">
        <v>102</v>
      </c>
      <c r="D87" t="s">
        <v>362</v>
      </c>
      <c r="E87" t="s">
        <v>238</v>
      </c>
      <c r="F87" s="6" t="s">
        <v>435</v>
      </c>
      <c r="H87" t="str">
        <f>VLOOKUP(E87,data!$C$2:$U$103,5,FALSE)</f>
        <v>017 544 243</v>
      </c>
    </row>
    <row r="88" spans="1:8" x14ac:dyDescent="0.5">
      <c r="A88" s="5">
        <v>2830300078</v>
      </c>
      <c r="B88" s="6" t="str">
        <f t="shared" si="1"/>
        <v>លោកស្រី សួន សុម៉ារ៉ា</v>
      </c>
      <c r="C88" s="6" t="s">
        <v>103</v>
      </c>
      <c r="D88" t="s">
        <v>363</v>
      </c>
      <c r="E88" t="s">
        <v>239</v>
      </c>
      <c r="F88" s="6" t="s">
        <v>435</v>
      </c>
      <c r="H88" t="str">
        <f>VLOOKUP(E88,data!$C$2:$U$103,5,FALSE)</f>
        <v>012 576 434</v>
      </c>
    </row>
    <row r="89" spans="1:8" x14ac:dyDescent="0.5">
      <c r="A89" s="5">
        <v>1870300100</v>
      </c>
      <c r="B89" s="6" t="str">
        <f t="shared" si="1"/>
        <v>លោក ឃឹម វ៉ាន់ឌី</v>
      </c>
      <c r="C89" s="6" t="s">
        <v>104</v>
      </c>
      <c r="D89" t="s">
        <v>364</v>
      </c>
      <c r="E89" t="s">
        <v>240</v>
      </c>
      <c r="F89" s="6" t="s">
        <v>434</v>
      </c>
      <c r="H89" t="str">
        <f>VLOOKUP(E89,data!$C$2:$U$103,5,FALSE)</f>
        <v>086 572 451</v>
      </c>
    </row>
    <row r="90" spans="1:8" x14ac:dyDescent="0.5">
      <c r="A90" s="5">
        <v>2870300157</v>
      </c>
      <c r="B90" s="6" t="str">
        <f t="shared" si="1"/>
        <v>លោកស្រី កឹម សុសិទ្ធា</v>
      </c>
      <c r="C90" s="6" t="s">
        <v>105</v>
      </c>
      <c r="D90" t="s">
        <v>365</v>
      </c>
      <c r="E90" t="s">
        <v>241</v>
      </c>
      <c r="F90" s="6" t="s">
        <v>435</v>
      </c>
      <c r="H90" t="str">
        <f>VLOOKUP(E90,data!$C$2:$U$103,5,FALSE)</f>
        <v>017 261463</v>
      </c>
    </row>
    <row r="91" spans="1:8" x14ac:dyDescent="0.5">
      <c r="A91" s="5">
        <v>2910300165</v>
      </c>
      <c r="B91" s="6" t="str">
        <f t="shared" si="1"/>
        <v>លោកស្រី ស សុវឌ្ឍនា</v>
      </c>
      <c r="C91" s="6" t="s">
        <v>106</v>
      </c>
      <c r="D91" t="s">
        <v>366</v>
      </c>
      <c r="E91" t="s">
        <v>242</v>
      </c>
      <c r="F91" s="6" t="s">
        <v>435</v>
      </c>
      <c r="H91" t="str">
        <f>VLOOKUP(E91,data!$C$2:$U$103,5,FALSE)</f>
        <v>012 481 018</v>
      </c>
    </row>
    <row r="92" spans="1:8" x14ac:dyDescent="0.5">
      <c r="A92" s="5">
        <v>1690300603</v>
      </c>
      <c r="B92" s="6" t="str">
        <f t="shared" si="1"/>
        <v>លោក ហ៊ង សុខលាភ</v>
      </c>
      <c r="C92" s="6" t="s">
        <v>107</v>
      </c>
      <c r="D92" t="s">
        <v>367</v>
      </c>
      <c r="E92" t="s">
        <v>243</v>
      </c>
      <c r="F92" s="6" t="s">
        <v>434</v>
      </c>
      <c r="H92" t="str">
        <f>VLOOKUP(E92,data!$C$2:$U$103,5,FALSE)</f>
        <v>017 225 545</v>
      </c>
    </row>
    <row r="93" spans="1:8" x14ac:dyDescent="0.5">
      <c r="A93" s="5">
        <v>2680300182</v>
      </c>
      <c r="B93" s="6" t="str">
        <f t="shared" si="1"/>
        <v>លោកស្រី សឹង ហ៊ីណារិន</v>
      </c>
      <c r="C93" s="6" t="s">
        <v>108</v>
      </c>
      <c r="D93" t="s">
        <v>368</v>
      </c>
      <c r="E93" t="s">
        <v>244</v>
      </c>
      <c r="F93" s="6" t="s">
        <v>435</v>
      </c>
      <c r="H93" t="str">
        <f>VLOOKUP(E93,data!$C$2:$U$103,5,FALSE)</f>
        <v>087 797 776</v>
      </c>
    </row>
    <row r="94" spans="1:8" x14ac:dyDescent="0.5">
      <c r="A94" s="5">
        <v>1690300349</v>
      </c>
      <c r="B94" s="6" t="str">
        <f t="shared" si="1"/>
        <v>លោក ថូ សាវុធ</v>
      </c>
      <c r="C94" s="6" t="s">
        <v>109</v>
      </c>
      <c r="D94" t="s">
        <v>369</v>
      </c>
      <c r="E94" t="s">
        <v>245</v>
      </c>
      <c r="F94" s="6" t="s">
        <v>434</v>
      </c>
      <c r="H94" t="str">
        <f>VLOOKUP(E94,data!$C$2:$U$103,5,FALSE)</f>
        <v>011 760 236</v>
      </c>
    </row>
    <row r="95" spans="1:8" x14ac:dyDescent="0.5">
      <c r="A95" s="5">
        <v>2930300284</v>
      </c>
      <c r="B95" s="6" t="str">
        <f t="shared" si="1"/>
        <v>លោកស្រី ច្រឹក ធារី</v>
      </c>
      <c r="C95" s="6" t="s">
        <v>110</v>
      </c>
      <c r="D95" t="s">
        <v>370</v>
      </c>
      <c r="E95" t="s">
        <v>246</v>
      </c>
      <c r="F95" s="6" t="s">
        <v>435</v>
      </c>
      <c r="H95" t="str">
        <f>VLOOKUP(E95,data!$C$2:$U$103,5,FALSE)</f>
        <v>010 988 740</v>
      </c>
    </row>
    <row r="96" spans="1:8" x14ac:dyDescent="0.5">
      <c r="A96" s="5">
        <v>1942000040</v>
      </c>
      <c r="B96" s="6" t="str">
        <f t="shared" si="1"/>
        <v>លោក ជា តុលា</v>
      </c>
      <c r="C96" s="6" t="s">
        <v>111</v>
      </c>
      <c r="D96" t="s">
        <v>371</v>
      </c>
      <c r="E96" t="s">
        <v>247</v>
      </c>
      <c r="F96" s="6" t="s">
        <v>434</v>
      </c>
      <c r="H96" t="str">
        <f>VLOOKUP(E96,data!$C$2:$U$103,5,FALSE)</f>
        <v>070 840 703</v>
      </c>
    </row>
    <row r="97" spans="1:8" x14ac:dyDescent="0.5">
      <c r="A97" s="5">
        <v>1931000087</v>
      </c>
      <c r="B97" s="6" t="str">
        <f t="shared" si="1"/>
        <v>លោក កាក់ រតនា</v>
      </c>
      <c r="C97" s="6" t="s">
        <v>112</v>
      </c>
      <c r="D97" t="s">
        <v>372</v>
      </c>
      <c r="E97" t="s">
        <v>248</v>
      </c>
      <c r="F97" s="6" t="s">
        <v>434</v>
      </c>
      <c r="H97" t="str">
        <f>VLOOKUP(E97,data!$C$2:$U$103,5,FALSE)</f>
        <v>015 612 512</v>
      </c>
    </row>
    <row r="98" spans="1:8" x14ac:dyDescent="0.5">
      <c r="A98" s="5">
        <v>1960300210</v>
      </c>
      <c r="B98" s="6" t="str">
        <f t="shared" si="1"/>
        <v>លោក ហេម សោភា</v>
      </c>
      <c r="C98" s="6" t="s">
        <v>113</v>
      </c>
      <c r="D98" t="s">
        <v>373</v>
      </c>
      <c r="E98" t="s">
        <v>249</v>
      </c>
      <c r="F98" s="6" t="s">
        <v>434</v>
      </c>
      <c r="H98" t="str">
        <f>VLOOKUP(E98,data!$C$2:$U$103,5,FALSE)</f>
        <v>016 549 414</v>
      </c>
    </row>
    <row r="99" spans="1:8" x14ac:dyDescent="0.5">
      <c r="A99" s="5">
        <v>1680300355</v>
      </c>
      <c r="B99" s="6" t="str">
        <f t="shared" si="1"/>
        <v>លោក ឈួន សារ៉ាន</v>
      </c>
      <c r="C99" s="6" t="s">
        <v>114</v>
      </c>
      <c r="D99" t="s">
        <v>374</v>
      </c>
      <c r="E99" t="s">
        <v>250</v>
      </c>
      <c r="F99" s="6" t="s">
        <v>434</v>
      </c>
      <c r="H99" t="str">
        <f>VLOOKUP(E99,data!$C$2:$U$103,5,FALSE)</f>
        <v>012​ 752 553</v>
      </c>
    </row>
    <row r="100" spans="1:8" x14ac:dyDescent="0.5">
      <c r="A100" s="5">
        <v>2820300034</v>
      </c>
      <c r="B100" s="6" t="str">
        <f t="shared" si="1"/>
        <v>លោកស្រី សុក គឹមហ៊ាង</v>
      </c>
      <c r="C100" s="6" t="s">
        <v>115</v>
      </c>
      <c r="D100" t="s">
        <v>375</v>
      </c>
      <c r="E100" t="s">
        <v>251</v>
      </c>
      <c r="F100" s="6" t="s">
        <v>435</v>
      </c>
      <c r="H100" t="str">
        <f>VLOOKUP(E100,data!$C$2:$U$103,5,FALSE)</f>
        <v>012​ 492 550</v>
      </c>
    </row>
    <row r="101" spans="1:8" x14ac:dyDescent="0.5">
      <c r="A101" s="5">
        <v>2800300234</v>
      </c>
      <c r="B101" s="6" t="str">
        <f t="shared" si="1"/>
        <v>លោកស្រី ប៊ុន ច័ន្ទសុគន្ធា</v>
      </c>
      <c r="C101" s="6" t="s">
        <v>116</v>
      </c>
      <c r="D101" t="s">
        <v>376</v>
      </c>
      <c r="E101" t="s">
        <v>252</v>
      </c>
      <c r="F101" s="6" t="s">
        <v>435</v>
      </c>
      <c r="H101" t="str">
        <f>VLOOKUP(E101,data!$C$2:$U$103,5,FALSE)</f>
        <v>012​ 530 379</v>
      </c>
    </row>
    <row r="102" spans="1:8" x14ac:dyDescent="0.5">
      <c r="A102" s="5">
        <v>2000300183</v>
      </c>
      <c r="B102" s="6" t="str">
        <f t="shared" si="1"/>
        <v>លោកស្រី លី ស្រីពៅ</v>
      </c>
      <c r="C102" s="6" t="s">
        <v>117</v>
      </c>
      <c r="D102" t="s">
        <v>377</v>
      </c>
      <c r="E102" t="s">
        <v>253</v>
      </c>
      <c r="F102" s="6" t="s">
        <v>435</v>
      </c>
      <c r="H102" t="str">
        <f>VLOOKUP(E102,data!$C$2:$U$103,5,FALSE)</f>
        <v>096​ 816 1466</v>
      </c>
    </row>
    <row r="103" spans="1:8" x14ac:dyDescent="0.5">
      <c r="A103" s="5">
        <v>1990300147</v>
      </c>
      <c r="B103" s="6" t="str">
        <f t="shared" si="1"/>
        <v>លោក ធុយ សុភត្រ្តា</v>
      </c>
      <c r="C103" s="6" t="s">
        <v>118</v>
      </c>
      <c r="D103" t="s">
        <v>378</v>
      </c>
      <c r="E103" t="s">
        <v>254</v>
      </c>
      <c r="F103" s="6" t="s">
        <v>434</v>
      </c>
      <c r="H103" t="str">
        <f>VLOOKUP(E103,data!$C$2:$U$203,5,FALSE)</f>
        <v>088 ​913 0994</v>
      </c>
    </row>
    <row r="104" spans="1:8" x14ac:dyDescent="0.5">
      <c r="A104" s="5">
        <v>100001</v>
      </c>
      <c r="B104" s="6" t="str">
        <f t="shared" si="1"/>
        <v>លោក ថេង ធីណា</v>
      </c>
      <c r="C104" s="6" t="s">
        <v>119</v>
      </c>
      <c r="D104" t="s">
        <v>379</v>
      </c>
      <c r="E104" t="s">
        <v>255</v>
      </c>
      <c r="F104" s="6" t="s">
        <v>434</v>
      </c>
      <c r="H104">
        <f>VLOOKUP(E104,data!$C$2:$U$203,5,FALSE)</f>
        <v>0</v>
      </c>
    </row>
    <row r="105" spans="1:8" x14ac:dyDescent="0.5">
      <c r="A105" s="5">
        <v>1720300297</v>
      </c>
      <c r="B105" s="6" t="str">
        <f t="shared" si="1"/>
        <v>លោក បេង ហេង</v>
      </c>
      <c r="C105" s="6" t="s">
        <v>120</v>
      </c>
      <c r="D105" t="s">
        <v>380</v>
      </c>
      <c r="E105" t="s">
        <v>256</v>
      </c>
      <c r="F105" s="6" t="s">
        <v>434</v>
      </c>
      <c r="H105" t="str">
        <f>VLOOKUP(E105,data!$C$2:$U$203,5,FALSE)</f>
        <v>061 678 720</v>
      </c>
    </row>
    <row r="106" spans="1:8" x14ac:dyDescent="0.5">
      <c r="A106" s="5">
        <v>2740300117</v>
      </c>
      <c r="B106" s="6" t="str">
        <f t="shared" si="1"/>
        <v>លោកស្រី សន សុម៉ាលី</v>
      </c>
      <c r="C106" s="6" t="s">
        <v>121</v>
      </c>
      <c r="D106" t="s">
        <v>381</v>
      </c>
      <c r="E106" t="s">
        <v>257</v>
      </c>
      <c r="F106" s="6" t="s">
        <v>435</v>
      </c>
      <c r="H106" t="str">
        <f>VLOOKUP(E106,data!$C$2:$U$203,5,FALSE)</f>
        <v>061 697 563</v>
      </c>
    </row>
    <row r="107" spans="1:8" x14ac:dyDescent="0.5">
      <c r="A107" s="5">
        <v>2980300142</v>
      </c>
      <c r="B107" s="6" t="str">
        <f t="shared" si="1"/>
        <v>លោកស្រី ឈីន បូណាវត្តី</v>
      </c>
      <c r="C107" s="6" t="s">
        <v>122</v>
      </c>
      <c r="D107" t="s">
        <v>382</v>
      </c>
      <c r="E107" t="s">
        <v>258</v>
      </c>
      <c r="F107" s="6" t="s">
        <v>435</v>
      </c>
      <c r="H107" t="str">
        <f>VLOOKUP(E107,data!$C$2:$U$203,5,FALSE)</f>
        <v>061 647 862</v>
      </c>
    </row>
    <row r="108" spans="1:8" x14ac:dyDescent="0.5">
      <c r="A108" s="5">
        <v>1750300287</v>
      </c>
      <c r="B108" s="6" t="str">
        <f t="shared" si="1"/>
        <v>លោក ណោ រ៉ា</v>
      </c>
      <c r="C108" s="6" t="s">
        <v>123</v>
      </c>
      <c r="D108" t="s">
        <v>383</v>
      </c>
      <c r="E108" t="s">
        <v>259</v>
      </c>
      <c r="F108" s="6" t="s">
        <v>434</v>
      </c>
      <c r="H108" t="str">
        <f>VLOOKUP(E108,data!$C$2:$U$203,5,FALSE)</f>
        <v>061 993 277</v>
      </c>
    </row>
    <row r="109" spans="1:8" x14ac:dyDescent="0.5">
      <c r="A109" s="5">
        <v>2760300055</v>
      </c>
      <c r="B109" s="6" t="str">
        <f t="shared" si="1"/>
        <v>លោកស្រី ម៉ន សុឃា</v>
      </c>
      <c r="C109" s="6" t="s">
        <v>124</v>
      </c>
      <c r="D109" t="s">
        <v>384</v>
      </c>
      <c r="E109" t="s">
        <v>260</v>
      </c>
      <c r="F109" s="6" t="s">
        <v>435</v>
      </c>
      <c r="H109" t="str">
        <f>VLOOKUP(E109,data!$C$2:$U$203,5,FALSE)</f>
        <v>061 654 592</v>
      </c>
    </row>
    <row r="110" spans="1:8" x14ac:dyDescent="0.5">
      <c r="A110" s="5">
        <v>2780300025</v>
      </c>
      <c r="B110" s="6" t="str">
        <f t="shared" si="1"/>
        <v>លោកស្រី ហ៊ៅ គីមណៃ</v>
      </c>
      <c r="C110" s="6" t="s">
        <v>125</v>
      </c>
      <c r="D110" t="s">
        <v>385</v>
      </c>
      <c r="E110" t="s">
        <v>261</v>
      </c>
      <c r="F110" s="6" t="s">
        <v>435</v>
      </c>
      <c r="H110" t="str">
        <f>VLOOKUP(E110,data!$C$2:$U$203,5,FALSE)</f>
        <v>061 533 873</v>
      </c>
    </row>
    <row r="111" spans="1:8" x14ac:dyDescent="0.5">
      <c r="A111" s="5">
        <v>2820300159</v>
      </c>
      <c r="B111" s="6" t="str">
        <f t="shared" si="1"/>
        <v>លោកស្រី ទន់ សុគន្ធា</v>
      </c>
      <c r="C111" s="6" t="s">
        <v>126</v>
      </c>
      <c r="D111" t="s">
        <v>386</v>
      </c>
      <c r="E111" t="s">
        <v>262</v>
      </c>
      <c r="F111" s="6" t="s">
        <v>435</v>
      </c>
      <c r="H111" t="str">
        <f>VLOOKUP(E111,data!$C$2:$U$203,5,FALSE)</f>
        <v>061 640 844</v>
      </c>
    </row>
    <row r="112" spans="1:8" x14ac:dyDescent="0.5">
      <c r="A112" s="5">
        <v>1850300039</v>
      </c>
      <c r="B112" s="6" t="str">
        <f t="shared" si="1"/>
        <v>លោក សាត សំអាត</v>
      </c>
      <c r="C112" s="6" t="s">
        <v>127</v>
      </c>
      <c r="D112" t="s">
        <v>387</v>
      </c>
      <c r="E112" t="s">
        <v>263</v>
      </c>
      <c r="F112" s="6" t="s">
        <v>434</v>
      </c>
      <c r="H112" t="str">
        <f>VLOOKUP(E112,data!$C$2:$U$203,5,FALSE)</f>
        <v>061 674 926</v>
      </c>
    </row>
    <row r="113" spans="1:8" x14ac:dyDescent="0.5">
      <c r="A113" s="5">
        <v>2860300021</v>
      </c>
      <c r="B113" s="6" t="str">
        <f t="shared" si="1"/>
        <v>លោកស្រី សេង​ ​ សុផា</v>
      </c>
      <c r="C113" s="6" t="s">
        <v>128</v>
      </c>
      <c r="D113" t="s">
        <v>388</v>
      </c>
      <c r="E113" t="s">
        <v>264</v>
      </c>
      <c r="F113" s="6" t="s">
        <v>435</v>
      </c>
      <c r="H113" t="str">
        <f>VLOOKUP(E113,data!$C$2:$U$203,5,FALSE)</f>
        <v>061 576 591</v>
      </c>
    </row>
    <row r="114" spans="1:8" x14ac:dyDescent="0.5">
      <c r="A114" s="5">
        <v>1870300055</v>
      </c>
      <c r="B114" s="6" t="str">
        <f t="shared" si="1"/>
        <v>លោក ចុង ហ្វីនី</v>
      </c>
      <c r="C114" s="6" t="s">
        <v>129</v>
      </c>
      <c r="D114" t="s">
        <v>389</v>
      </c>
      <c r="E114" t="s">
        <v>265</v>
      </c>
      <c r="F114" s="6" t="s">
        <v>434</v>
      </c>
      <c r="H114" t="str">
        <f>VLOOKUP(E114,data!$C$2:$U$203,5,FALSE)</f>
        <v>062 103 153</v>
      </c>
    </row>
    <row r="115" spans="1:8" x14ac:dyDescent="0.5">
      <c r="A115" s="5">
        <v>1680300329</v>
      </c>
      <c r="B115" s="6" t="str">
        <f t="shared" si="1"/>
        <v>លោក សួង សុគន្ធា</v>
      </c>
      <c r="C115" s="6" t="s">
        <v>130</v>
      </c>
      <c r="D115" t="s">
        <v>390</v>
      </c>
      <c r="E115" t="s">
        <v>266</v>
      </c>
      <c r="F115" s="6" t="s">
        <v>434</v>
      </c>
      <c r="H115" t="str">
        <f>VLOOKUP(E115,data!$C$2:$U$203,5,FALSE)</f>
        <v>016 639 824</v>
      </c>
    </row>
    <row r="116" spans="1:8" x14ac:dyDescent="0.5">
      <c r="A116" s="5">
        <v>2910300192</v>
      </c>
      <c r="B116" s="6" t="str">
        <f t="shared" si="1"/>
        <v>លោកស្រី ខុន ធារី</v>
      </c>
      <c r="C116" s="6" t="s">
        <v>131</v>
      </c>
      <c r="D116" t="s">
        <v>391</v>
      </c>
      <c r="E116" t="s">
        <v>267</v>
      </c>
      <c r="F116" s="6" t="s">
        <v>435</v>
      </c>
      <c r="H116" t="str">
        <f>VLOOKUP(E116,data!$C$2:$U$203,5,FALSE)</f>
        <v>061 624 305</v>
      </c>
    </row>
    <row r="117" spans="1:8" x14ac:dyDescent="0.5">
      <c r="A117" s="5">
        <v>2940300006</v>
      </c>
      <c r="B117" s="6" t="str">
        <f t="shared" si="1"/>
        <v>លោកស្រី លី វណ្ណនីដា</v>
      </c>
      <c r="C117" s="6" t="s">
        <v>132</v>
      </c>
      <c r="D117" t="s">
        <v>392</v>
      </c>
      <c r="E117" t="s">
        <v>268</v>
      </c>
      <c r="F117" s="6" t="s">
        <v>435</v>
      </c>
      <c r="H117" t="str">
        <f>VLOOKUP(E117,data!$C$2:$U$203,5,FALSE)</f>
        <v>061 950 955</v>
      </c>
    </row>
    <row r="118" spans="1:8" x14ac:dyDescent="0.5">
      <c r="A118" s="5">
        <v>1930300052</v>
      </c>
      <c r="B118" s="6" t="str">
        <f t="shared" si="1"/>
        <v>លោក មាស រ៉ាដូ</v>
      </c>
      <c r="C118" s="6" t="s">
        <v>133</v>
      </c>
      <c r="D118" t="s">
        <v>393</v>
      </c>
      <c r="E118" t="s">
        <v>269</v>
      </c>
      <c r="F118" s="6" t="s">
        <v>434</v>
      </c>
      <c r="H118" t="str">
        <f>VLOOKUP(E118,data!$C$2:$U$203,5,FALSE)</f>
        <v>061 347 994</v>
      </c>
    </row>
    <row r="119" spans="1:8" x14ac:dyDescent="0.5">
      <c r="A119" s="5">
        <v>2981400029</v>
      </c>
      <c r="B119" s="6" t="str">
        <f t="shared" si="1"/>
        <v>លោកស្រី ម៉ង់ ចាន់ស៊ាងម៉ី</v>
      </c>
      <c r="C119" s="6" t="s">
        <v>134</v>
      </c>
      <c r="D119" t="s">
        <v>394</v>
      </c>
      <c r="E119" t="s">
        <v>270</v>
      </c>
      <c r="F119" s="6" t="s">
        <v>435</v>
      </c>
      <c r="H119" t="str">
        <f>VLOOKUP(E119,data!$C$2:$U$203,5,FALSE)</f>
        <v>061 878 425</v>
      </c>
    </row>
    <row r="120" spans="1:8" x14ac:dyDescent="0.5">
      <c r="A120" s="5">
        <v>2960300101</v>
      </c>
      <c r="B120" s="6" t="str">
        <f t="shared" si="1"/>
        <v>លោកស្រី ហាក់ សុវណ្ណរ៉ា</v>
      </c>
      <c r="C120" s="6" t="s">
        <v>135</v>
      </c>
      <c r="D120" t="s">
        <v>395</v>
      </c>
      <c r="E120" t="s">
        <v>271</v>
      </c>
      <c r="F120" s="6" t="s">
        <v>435</v>
      </c>
      <c r="H120" t="str">
        <f>VLOOKUP(E120,data!$C$2:$U$203,5,FALSE)</f>
        <v>061 437 103</v>
      </c>
    </row>
    <row r="121" spans="1:8" x14ac:dyDescent="0.5">
      <c r="A121" s="5">
        <v>1980300018</v>
      </c>
      <c r="B121" s="6" t="str">
        <f t="shared" si="1"/>
        <v>លោក គង់ ណាវីន</v>
      </c>
      <c r="C121" s="6" t="s">
        <v>136</v>
      </c>
      <c r="D121" t="s">
        <v>396</v>
      </c>
      <c r="E121" t="s">
        <v>272</v>
      </c>
      <c r="F121" s="6" t="s">
        <v>434</v>
      </c>
      <c r="H121" t="str">
        <f>VLOOKUP(E121,data!$C$2:$U$203,5,FALSE)</f>
        <v>061 761 910</v>
      </c>
    </row>
    <row r="122" spans="1:8" x14ac:dyDescent="0.5">
      <c r="A122" s="5">
        <v>2980300044</v>
      </c>
      <c r="B122" s="6" t="str">
        <f t="shared" si="1"/>
        <v>លោកស្រី ម៉ៅ ស្រីណេត</v>
      </c>
      <c r="C122" s="6" t="s">
        <v>137</v>
      </c>
      <c r="D122" t="s">
        <v>397</v>
      </c>
      <c r="E122" t="s">
        <v>273</v>
      </c>
      <c r="F122" s="6" t="s">
        <v>435</v>
      </c>
      <c r="H122" t="str">
        <f>VLOOKUP(E122,data!$C$2:$U$203,5,FALSE)</f>
        <v>061 636 917</v>
      </c>
    </row>
    <row r="123" spans="1:8" x14ac:dyDescent="0.5">
      <c r="A123" s="5">
        <v>1960300052</v>
      </c>
      <c r="B123" s="6" t="str">
        <f t="shared" si="1"/>
        <v>លោក យ៉េន បញ្ញា</v>
      </c>
      <c r="C123" s="6" t="s">
        <v>138</v>
      </c>
      <c r="D123" t="s">
        <v>398</v>
      </c>
      <c r="E123" t="s">
        <v>274</v>
      </c>
      <c r="F123" s="6" t="s">
        <v>434</v>
      </c>
      <c r="H123" t="str">
        <f>VLOOKUP(E123,data!$C$2:$U$203,5,FALSE)</f>
        <v>061 413 850</v>
      </c>
    </row>
    <row r="124" spans="1:8" x14ac:dyDescent="0.5">
      <c r="A124" s="5">
        <v>2960300120</v>
      </c>
      <c r="B124" s="6" t="str">
        <f t="shared" si="1"/>
        <v>លោកស្រី សន សុខឡៃ</v>
      </c>
      <c r="C124" s="6" t="s">
        <v>139</v>
      </c>
      <c r="D124" t="s">
        <v>399</v>
      </c>
      <c r="E124" t="s">
        <v>275</v>
      </c>
      <c r="F124" s="6" t="s">
        <v>435</v>
      </c>
      <c r="H124" t="str">
        <f>VLOOKUP(E124,data!$C$2:$U$203,5,FALSE)</f>
        <v>061 359 500</v>
      </c>
    </row>
    <row r="125" spans="1:8" x14ac:dyDescent="0.5">
      <c r="A125" s="5">
        <v>100002</v>
      </c>
      <c r="B125" s="6" t="str">
        <f t="shared" si="1"/>
        <v>លោក យក់ ឆៃយ៉ា</v>
      </c>
      <c r="C125" s="6" t="s">
        <v>140</v>
      </c>
      <c r="D125" t="s">
        <v>400</v>
      </c>
      <c r="E125" t="s">
        <v>276</v>
      </c>
      <c r="F125" s="6" t="s">
        <v>434</v>
      </c>
      <c r="H125">
        <f>VLOOKUP(E125,data!$C$2:$U$203,5,FALSE)</f>
        <v>0</v>
      </c>
    </row>
    <row r="126" spans="1:8" x14ac:dyDescent="0.5">
      <c r="A126" s="5">
        <v>2980300154</v>
      </c>
      <c r="B126" s="6" t="str">
        <f t="shared" si="1"/>
        <v>លោកស្រី មឿន ស៊ីណា</v>
      </c>
      <c r="C126" s="6" t="s">
        <v>843</v>
      </c>
      <c r="D126" t="s">
        <v>866</v>
      </c>
      <c r="E126" t="s">
        <v>860</v>
      </c>
      <c r="F126" s="6" t="s">
        <v>435</v>
      </c>
      <c r="H126" t="s">
        <v>844</v>
      </c>
    </row>
    <row r="127" spans="1:8" x14ac:dyDescent="0.5">
      <c r="A127" s="5">
        <v>2020300019</v>
      </c>
      <c r="B127" s="6" t="str">
        <f t="shared" si="1"/>
        <v>លោកស្រី ម៉ុន សុខចេង</v>
      </c>
      <c r="C127" s="6" t="s">
        <v>845</v>
      </c>
      <c r="D127" t="s">
        <v>867</v>
      </c>
      <c r="E127" t="s">
        <v>861</v>
      </c>
      <c r="F127" s="6" t="s">
        <v>435</v>
      </c>
      <c r="H127" t="s">
        <v>846</v>
      </c>
    </row>
    <row r="128" spans="1:8" x14ac:dyDescent="0.5">
      <c r="A128" s="5">
        <v>2034800003</v>
      </c>
      <c r="B128" s="6" t="str">
        <f t="shared" si="1"/>
        <v>លោកស្រី ផៃ ស្រីណុច</v>
      </c>
      <c r="C128" s="6" t="s">
        <v>849</v>
      </c>
      <c r="D128" t="s">
        <v>868</v>
      </c>
      <c r="E128" t="s">
        <v>862</v>
      </c>
      <c r="F128" s="6" t="s">
        <v>435</v>
      </c>
      <c r="H128" t="s">
        <v>850</v>
      </c>
    </row>
    <row r="129" spans="1:8" x14ac:dyDescent="0.5">
      <c r="A129" s="5">
        <v>2980300083</v>
      </c>
      <c r="B129" s="6" t="str">
        <f t="shared" si="1"/>
        <v>លោកស្រី ភាព រចនា</v>
      </c>
      <c r="C129" s="6" t="s">
        <v>852</v>
      </c>
      <c r="D129" t="s">
        <v>869</v>
      </c>
      <c r="E129" t="s">
        <v>863</v>
      </c>
      <c r="F129" s="6" t="s">
        <v>435</v>
      </c>
      <c r="H129" t="s">
        <v>853</v>
      </c>
    </row>
    <row r="130" spans="1:8" x14ac:dyDescent="0.5">
      <c r="A130" s="5">
        <v>1020300008</v>
      </c>
      <c r="B130" s="6" t="str">
        <f t="shared" si="1"/>
        <v>លោក ចាន់ ថាភិរម្យ</v>
      </c>
      <c r="C130" s="6" t="s">
        <v>855</v>
      </c>
      <c r="D130" t="s">
        <v>870</v>
      </c>
      <c r="E130" t="s">
        <v>864</v>
      </c>
      <c r="F130" s="6" t="s">
        <v>434</v>
      </c>
      <c r="H130" t="s">
        <v>856</v>
      </c>
    </row>
    <row r="131" spans="1:8" x14ac:dyDescent="0.5">
      <c r="A131" s="5">
        <v>2980300081</v>
      </c>
      <c r="B131" s="6" t="str">
        <f t="shared" ref="B131" si="2">IF(F131="ប្រុស","លោក "&amp;C131,"លោកស្រី "&amp;C131)</f>
        <v>លោកស្រី ម៉ាន់ ស្រីកែវ</v>
      </c>
      <c r="C131" s="6" t="s">
        <v>857</v>
      </c>
      <c r="D131" t="s">
        <v>871</v>
      </c>
      <c r="E131" t="s">
        <v>865</v>
      </c>
      <c r="F131" s="6" t="s">
        <v>435</v>
      </c>
      <c r="H131" t="s">
        <v>858</v>
      </c>
    </row>
  </sheetData>
  <pageMargins left="0.7" right="0.7" top="0.75" bottom="0.75" header="0.3" footer="0.3"/>
  <pageSetup paperSize="8" orientation="portrait" horizontalDpi="1200" verticalDpi="1200" r:id="rId1"/>
  <ignoredErrors>
    <ignoredError sqref="G1:M1 D1 G6:G45 G2:G4 I2:M45 A1: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0" sqref="E10"/>
    </sheetView>
  </sheetViews>
  <sheetFormatPr defaultRowHeight="15.6" x14ac:dyDescent="0.35"/>
  <sheetData/>
  <pageMargins left="0.7" right="0.7" top="0.75" bottom="0.75" header="0.3" footer="0.3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60CE-DC02-4AB9-9D8A-23D20858EF3C}">
  <dimension ref="A1:V131"/>
  <sheetViews>
    <sheetView topLeftCell="A118" workbookViewId="0">
      <selection activeCell="G124" sqref="G124:G129"/>
    </sheetView>
  </sheetViews>
  <sheetFormatPr defaultRowHeight="15.6" x14ac:dyDescent="0.5"/>
  <cols>
    <col min="1" max="1" width="3.54296875" style="7" bestFit="1" customWidth="1"/>
    <col min="2" max="2" width="12.1796875" style="7" bestFit="1" customWidth="1"/>
    <col min="3" max="3" width="21.54296875" style="7" bestFit="1" customWidth="1"/>
    <col min="4" max="4" width="3.54296875" style="7" bestFit="1" customWidth="1"/>
    <col min="5" max="5" width="10.6328125" style="7" bestFit="1" customWidth="1"/>
    <col min="6" max="6" width="9.90625" style="7" bestFit="1" customWidth="1"/>
    <col min="7" max="7" width="11.54296875" style="15" bestFit="1" customWidth="1"/>
    <col min="8" max="8" width="19.26953125" style="9" customWidth="1"/>
    <col min="9" max="10" width="6.81640625" style="7" bestFit="1" customWidth="1"/>
    <col min="11" max="11" width="12" style="7" bestFit="1" customWidth="1"/>
    <col min="12" max="12" width="15.36328125" style="7" bestFit="1" customWidth="1"/>
    <col min="13" max="13" width="14.36328125" style="7" bestFit="1" customWidth="1"/>
    <col min="14" max="14" width="40.453125" style="7" bestFit="1" customWidth="1"/>
    <col min="15" max="15" width="14.36328125" style="7" bestFit="1" customWidth="1"/>
    <col min="16" max="16" width="12.26953125" style="7" bestFit="1" customWidth="1"/>
    <col min="17" max="17" width="12.6328125" style="7" bestFit="1" customWidth="1"/>
    <col min="18" max="18" width="33.54296875" style="7" bestFit="1" customWidth="1"/>
    <col min="19" max="19" width="19" style="7" bestFit="1" customWidth="1"/>
    <col min="20" max="20" width="24.453125" style="7" customWidth="1"/>
    <col min="21" max="21" width="20.90625" style="7" bestFit="1" customWidth="1"/>
    <col min="22" max="22" width="14.08984375" style="7" bestFit="1" customWidth="1"/>
    <col min="23" max="16384" width="8.7265625" style="7"/>
  </cols>
  <sheetData>
    <row r="1" spans="1:22" s="11" customFormat="1" ht="19.899999999999999" customHeight="1" x14ac:dyDescent="0.35">
      <c r="A1" s="11" t="s">
        <v>772</v>
      </c>
      <c r="B1" s="11" t="s">
        <v>773</v>
      </c>
      <c r="C1" s="11" t="s">
        <v>774</v>
      </c>
      <c r="D1" s="11" t="s">
        <v>775</v>
      </c>
      <c r="E1" s="12" t="s">
        <v>786</v>
      </c>
      <c r="F1" s="11" t="s">
        <v>776</v>
      </c>
      <c r="G1" s="14" t="s">
        <v>777</v>
      </c>
      <c r="H1" s="13" t="s">
        <v>785</v>
      </c>
      <c r="I1" s="11" t="s">
        <v>778</v>
      </c>
      <c r="J1" s="12" t="s">
        <v>787</v>
      </c>
      <c r="K1" s="11" t="s">
        <v>788</v>
      </c>
      <c r="L1" s="11" t="s">
        <v>779</v>
      </c>
      <c r="N1" s="11" t="s">
        <v>780</v>
      </c>
      <c r="P1" s="11" t="s">
        <v>781</v>
      </c>
      <c r="S1" s="11" t="s">
        <v>782</v>
      </c>
      <c r="T1" s="12" t="s">
        <v>783</v>
      </c>
      <c r="U1" s="11" t="s">
        <v>784</v>
      </c>
    </row>
    <row r="2" spans="1:22" x14ac:dyDescent="0.5">
      <c r="A2" s="7">
        <v>1</v>
      </c>
      <c r="B2" s="7" t="s">
        <v>77</v>
      </c>
      <c r="C2" s="7" t="s">
        <v>212</v>
      </c>
      <c r="D2" s="7" t="s">
        <v>437</v>
      </c>
      <c r="E2" s="8">
        <v>25123</v>
      </c>
      <c r="F2" s="7">
        <v>1680800830</v>
      </c>
      <c r="G2" s="15" t="s">
        <v>659</v>
      </c>
      <c r="H2" s="9">
        <v>10000165514919</v>
      </c>
      <c r="I2" s="7" t="s">
        <v>436</v>
      </c>
      <c r="J2" s="7" t="s">
        <v>459</v>
      </c>
      <c r="K2" s="7" t="s">
        <v>446</v>
      </c>
      <c r="L2" s="7" t="s">
        <v>454</v>
      </c>
      <c r="M2" s="7" t="s">
        <v>442</v>
      </c>
      <c r="N2" s="7" t="s">
        <v>569</v>
      </c>
      <c r="O2" s="7" t="s">
        <v>444</v>
      </c>
      <c r="R2" s="7" t="s">
        <v>445</v>
      </c>
      <c r="T2" s="7" t="s">
        <v>660</v>
      </c>
    </row>
    <row r="3" spans="1:22" x14ac:dyDescent="0.5">
      <c r="A3" s="7">
        <v>2</v>
      </c>
      <c r="B3" s="7" t="s">
        <v>78</v>
      </c>
      <c r="C3" s="7" t="s">
        <v>213</v>
      </c>
      <c r="D3" s="7" t="s">
        <v>472</v>
      </c>
      <c r="E3" s="8">
        <v>25515</v>
      </c>
      <c r="F3" s="7">
        <v>2690300192</v>
      </c>
      <c r="G3" s="15" t="s">
        <v>661</v>
      </c>
      <c r="H3" s="9">
        <v>10000165298515</v>
      </c>
      <c r="I3" s="7" t="s">
        <v>436</v>
      </c>
      <c r="J3" s="7" t="s">
        <v>662</v>
      </c>
      <c r="K3" s="7" t="s">
        <v>663</v>
      </c>
      <c r="L3" s="7" t="s">
        <v>449</v>
      </c>
      <c r="M3" s="7" t="s">
        <v>442</v>
      </c>
      <c r="N3" s="7" t="s">
        <v>569</v>
      </c>
      <c r="O3" s="7" t="s">
        <v>444</v>
      </c>
      <c r="R3" s="7" t="s">
        <v>445</v>
      </c>
      <c r="T3" s="7" t="s">
        <v>660</v>
      </c>
    </row>
    <row r="4" spans="1:22" x14ac:dyDescent="0.5">
      <c r="A4" s="7">
        <v>3</v>
      </c>
      <c r="B4" s="7" t="s">
        <v>79</v>
      </c>
      <c r="C4" s="7" t="s">
        <v>214</v>
      </c>
      <c r="D4" s="7" t="s">
        <v>437</v>
      </c>
      <c r="E4" s="8">
        <v>29540</v>
      </c>
      <c r="F4" s="7">
        <v>1800800450</v>
      </c>
      <c r="G4" s="15" t="s">
        <v>664</v>
      </c>
      <c r="H4" s="9">
        <v>10000165503414</v>
      </c>
      <c r="I4" s="7" t="s">
        <v>436</v>
      </c>
      <c r="J4" s="7" t="s">
        <v>514</v>
      </c>
      <c r="K4" s="7" t="s">
        <v>451</v>
      </c>
      <c r="L4" s="7" t="s">
        <v>665</v>
      </c>
      <c r="M4" s="7" t="s">
        <v>442</v>
      </c>
      <c r="N4" s="7" t="s">
        <v>665</v>
      </c>
      <c r="O4" s="7" t="s">
        <v>442</v>
      </c>
      <c r="R4" s="7" t="s">
        <v>445</v>
      </c>
      <c r="T4" s="7" t="s">
        <v>660</v>
      </c>
    </row>
    <row r="5" spans="1:22" x14ac:dyDescent="0.5">
      <c r="A5" s="7">
        <v>4</v>
      </c>
      <c r="B5" s="7" t="s">
        <v>82</v>
      </c>
      <c r="C5" s="7" t="s">
        <v>217</v>
      </c>
      <c r="D5" s="7" t="s">
        <v>437</v>
      </c>
      <c r="E5" s="8">
        <v>30449</v>
      </c>
      <c r="F5" s="7">
        <v>1831200363</v>
      </c>
      <c r="G5" s="15" t="s">
        <v>666</v>
      </c>
      <c r="H5" s="9">
        <v>10000165492818</v>
      </c>
      <c r="I5" s="7" t="s">
        <v>436</v>
      </c>
      <c r="J5" s="7" t="s">
        <v>514</v>
      </c>
      <c r="K5" s="7" t="s">
        <v>667</v>
      </c>
      <c r="L5" s="7" t="s">
        <v>460</v>
      </c>
      <c r="M5" s="7" t="s">
        <v>442</v>
      </c>
      <c r="N5" s="7" t="s">
        <v>569</v>
      </c>
      <c r="O5" s="7" t="s">
        <v>444</v>
      </c>
      <c r="R5" s="7" t="s">
        <v>445</v>
      </c>
      <c r="T5" s="7" t="s">
        <v>660</v>
      </c>
    </row>
    <row r="6" spans="1:22" x14ac:dyDescent="0.5">
      <c r="A6" s="7">
        <v>5</v>
      </c>
      <c r="B6" s="7" t="s">
        <v>95</v>
      </c>
      <c r="C6" s="7" t="s">
        <v>231</v>
      </c>
      <c r="D6" s="7" t="s">
        <v>437</v>
      </c>
      <c r="E6" s="8">
        <v>25274</v>
      </c>
      <c r="F6" s="7">
        <v>1690300388</v>
      </c>
      <c r="G6" s="15" t="s">
        <v>668</v>
      </c>
      <c r="H6" s="9">
        <v>10000165446212</v>
      </c>
      <c r="I6" s="7" t="s">
        <v>436</v>
      </c>
      <c r="J6" s="7" t="s">
        <v>669</v>
      </c>
      <c r="K6" s="7" t="s">
        <v>670</v>
      </c>
      <c r="L6" s="7" t="s">
        <v>536</v>
      </c>
      <c r="M6" s="7" t="s">
        <v>671</v>
      </c>
      <c r="N6" s="7" t="s">
        <v>536</v>
      </c>
      <c r="O6" s="7" t="s">
        <v>444</v>
      </c>
      <c r="R6" s="7" t="s">
        <v>445</v>
      </c>
      <c r="T6" s="7" t="s">
        <v>672</v>
      </c>
      <c r="V6" s="7" t="s">
        <v>673</v>
      </c>
    </row>
    <row r="7" spans="1:22" x14ac:dyDescent="0.5">
      <c r="A7" s="7">
        <v>6</v>
      </c>
      <c r="B7" s="7" t="s">
        <v>107</v>
      </c>
      <c r="C7" s="7" t="s">
        <v>243</v>
      </c>
      <c r="D7" s="7" t="s">
        <v>437</v>
      </c>
      <c r="E7" s="8">
        <v>25326</v>
      </c>
      <c r="F7" s="7">
        <v>1690300603</v>
      </c>
      <c r="G7" s="15" t="s">
        <v>674</v>
      </c>
      <c r="H7" s="9">
        <v>10000166471919</v>
      </c>
      <c r="I7" s="7" t="s">
        <v>436</v>
      </c>
      <c r="J7" s="7" t="s">
        <v>637</v>
      </c>
      <c r="K7" s="7" t="s">
        <v>675</v>
      </c>
      <c r="L7" s="7" t="s">
        <v>536</v>
      </c>
      <c r="M7" s="7" t="s">
        <v>676</v>
      </c>
      <c r="N7" s="7" t="s">
        <v>569</v>
      </c>
      <c r="O7" s="7" t="s">
        <v>444</v>
      </c>
      <c r="R7" s="7" t="s">
        <v>445</v>
      </c>
      <c r="T7" s="7" t="s">
        <v>660</v>
      </c>
    </row>
    <row r="8" spans="1:22" x14ac:dyDescent="0.5">
      <c r="A8" s="7">
        <v>7</v>
      </c>
      <c r="B8" s="7" t="s">
        <v>80</v>
      </c>
      <c r="C8" s="7" t="s">
        <v>215</v>
      </c>
      <c r="D8" s="7" t="s">
        <v>437</v>
      </c>
      <c r="E8" s="8">
        <v>24907</v>
      </c>
      <c r="F8" s="7">
        <v>1680300367</v>
      </c>
      <c r="G8" s="15" t="s">
        <v>677</v>
      </c>
      <c r="H8" s="9">
        <v>10000165441313</v>
      </c>
      <c r="I8" s="7" t="s">
        <v>436</v>
      </c>
      <c r="J8" s="7" t="s">
        <v>678</v>
      </c>
      <c r="K8" s="7" t="s">
        <v>482</v>
      </c>
      <c r="L8" s="7" t="s">
        <v>597</v>
      </c>
      <c r="M8" s="7" t="s">
        <v>676</v>
      </c>
      <c r="N8" s="7" t="s">
        <v>569</v>
      </c>
      <c r="O8" s="7" t="s">
        <v>444</v>
      </c>
      <c r="R8" s="7" t="s">
        <v>445</v>
      </c>
      <c r="T8" s="7" t="s">
        <v>660</v>
      </c>
    </row>
    <row r="9" spans="1:22" x14ac:dyDescent="0.5">
      <c r="A9" s="7">
        <v>8</v>
      </c>
      <c r="B9" s="7" t="s">
        <v>94</v>
      </c>
      <c r="C9" s="7" t="s">
        <v>230</v>
      </c>
      <c r="D9" s="7" t="s">
        <v>472</v>
      </c>
      <c r="E9" s="8">
        <v>24991</v>
      </c>
      <c r="F9" s="7">
        <v>2680300175</v>
      </c>
      <c r="G9" s="15" t="s">
        <v>679</v>
      </c>
      <c r="H9" s="9">
        <v>10000165498010</v>
      </c>
      <c r="I9" s="7" t="s">
        <v>436</v>
      </c>
      <c r="J9" s="7" t="s">
        <v>680</v>
      </c>
      <c r="K9" s="7" t="s">
        <v>482</v>
      </c>
      <c r="L9" s="7" t="s">
        <v>454</v>
      </c>
      <c r="M9" s="7" t="s">
        <v>676</v>
      </c>
      <c r="N9" s="7" t="s">
        <v>466</v>
      </c>
      <c r="O9" s="7" t="s">
        <v>442</v>
      </c>
      <c r="R9" s="7" t="s">
        <v>445</v>
      </c>
      <c r="T9" s="7" t="s">
        <v>660</v>
      </c>
    </row>
    <row r="10" spans="1:22" x14ac:dyDescent="0.5">
      <c r="A10" s="7">
        <v>9</v>
      </c>
      <c r="B10" s="7" t="s">
        <v>112</v>
      </c>
      <c r="C10" s="7" t="s">
        <v>248</v>
      </c>
      <c r="D10" s="7" t="s">
        <v>437</v>
      </c>
      <c r="E10" s="8">
        <v>34275</v>
      </c>
      <c r="F10" s="7">
        <v>1931000087</v>
      </c>
      <c r="G10" s="15" t="s">
        <v>681</v>
      </c>
      <c r="H10" s="10" t="s">
        <v>789</v>
      </c>
      <c r="I10" s="7" t="s">
        <v>436</v>
      </c>
      <c r="J10" s="7" t="s">
        <v>682</v>
      </c>
      <c r="K10" s="7" t="s">
        <v>683</v>
      </c>
      <c r="L10" s="7" t="s">
        <v>684</v>
      </c>
      <c r="M10" s="7" t="s">
        <v>442</v>
      </c>
      <c r="N10" s="7" t="s">
        <v>685</v>
      </c>
      <c r="O10" s="7" t="s">
        <v>444</v>
      </c>
      <c r="R10" s="7" t="s">
        <v>445</v>
      </c>
      <c r="T10" s="7" t="s">
        <v>672</v>
      </c>
      <c r="V10" s="7" t="s">
        <v>673</v>
      </c>
    </row>
    <row r="11" spans="1:22" x14ac:dyDescent="0.5">
      <c r="A11" s="7">
        <v>10</v>
      </c>
      <c r="B11" s="7" t="s">
        <v>686</v>
      </c>
      <c r="C11" s="7" t="s">
        <v>244</v>
      </c>
      <c r="D11" s="7" t="s">
        <v>472</v>
      </c>
      <c r="E11" s="8">
        <v>24857</v>
      </c>
      <c r="F11" s="7">
        <v>2680300182</v>
      </c>
      <c r="G11" s="15" t="s">
        <v>687</v>
      </c>
      <c r="H11" s="9">
        <v>10000165520818</v>
      </c>
      <c r="I11" s="7" t="s">
        <v>436</v>
      </c>
      <c r="J11" s="7" t="s">
        <v>688</v>
      </c>
      <c r="K11" s="7" t="s">
        <v>683</v>
      </c>
      <c r="L11" s="7" t="s">
        <v>689</v>
      </c>
      <c r="M11" s="7" t="s">
        <v>676</v>
      </c>
      <c r="N11" s="7" t="s">
        <v>689</v>
      </c>
      <c r="O11" s="7" t="s">
        <v>676</v>
      </c>
      <c r="T11" s="7" t="s">
        <v>660</v>
      </c>
    </row>
    <row r="12" spans="1:22" x14ac:dyDescent="0.5">
      <c r="A12" s="7">
        <v>11</v>
      </c>
      <c r="B12" s="7" t="s">
        <v>690</v>
      </c>
      <c r="C12" s="7" t="s">
        <v>218</v>
      </c>
      <c r="D12" s="7" t="s">
        <v>437</v>
      </c>
      <c r="E12" s="8">
        <v>31518</v>
      </c>
      <c r="F12" s="7">
        <v>1860300283</v>
      </c>
      <c r="G12" s="15" t="s">
        <v>691</v>
      </c>
      <c r="H12" s="9">
        <v>10000045408424</v>
      </c>
      <c r="I12" s="7" t="s">
        <v>436</v>
      </c>
      <c r="J12" s="7" t="s">
        <v>545</v>
      </c>
      <c r="K12" s="7" t="s">
        <v>683</v>
      </c>
      <c r="L12" s="7" t="s">
        <v>692</v>
      </c>
      <c r="M12" s="7" t="s">
        <v>442</v>
      </c>
      <c r="N12" s="7" t="s">
        <v>569</v>
      </c>
      <c r="O12" s="7" t="s">
        <v>444</v>
      </c>
      <c r="R12" s="7" t="s">
        <v>445</v>
      </c>
      <c r="T12" s="7" t="s">
        <v>672</v>
      </c>
      <c r="V12" s="7" t="s">
        <v>673</v>
      </c>
    </row>
    <row r="13" spans="1:22" x14ac:dyDescent="0.5">
      <c r="A13" s="7">
        <v>12</v>
      </c>
      <c r="B13" s="7" t="s">
        <v>109</v>
      </c>
      <c r="C13" s="7" t="s">
        <v>245</v>
      </c>
      <c r="D13" s="7" t="s">
        <v>437</v>
      </c>
      <c r="E13" s="8">
        <v>25267</v>
      </c>
      <c r="F13" s="7">
        <v>1690300349</v>
      </c>
      <c r="G13" s="15" t="s">
        <v>693</v>
      </c>
      <c r="H13" s="9">
        <v>10000016861010</v>
      </c>
      <c r="I13" s="7" t="s">
        <v>436</v>
      </c>
      <c r="J13" s="7" t="s">
        <v>694</v>
      </c>
      <c r="K13" s="7" t="s">
        <v>683</v>
      </c>
      <c r="L13" s="7" t="s">
        <v>695</v>
      </c>
      <c r="M13" s="7" t="s">
        <v>696</v>
      </c>
      <c r="N13" s="7" t="s">
        <v>695</v>
      </c>
      <c r="O13" s="7" t="s">
        <v>696</v>
      </c>
      <c r="T13" s="7" t="s">
        <v>660</v>
      </c>
    </row>
    <row r="14" spans="1:22" x14ac:dyDescent="0.5">
      <c r="A14" s="7">
        <v>13</v>
      </c>
      <c r="B14" s="7" t="s">
        <v>113</v>
      </c>
      <c r="C14" s="7" t="s">
        <v>249</v>
      </c>
      <c r="D14" s="7" t="s">
        <v>437</v>
      </c>
      <c r="E14" s="8">
        <v>35192</v>
      </c>
      <c r="F14" s="7">
        <v>1960300210</v>
      </c>
      <c r="G14" s="15" t="s">
        <v>697</v>
      </c>
      <c r="H14" s="9">
        <v>10000291865219</v>
      </c>
      <c r="I14" s="7" t="s">
        <v>436</v>
      </c>
      <c r="J14" s="7" t="s">
        <v>682</v>
      </c>
      <c r="K14" s="7" t="s">
        <v>683</v>
      </c>
      <c r="L14" s="7" t="s">
        <v>684</v>
      </c>
      <c r="M14" s="7" t="s">
        <v>442</v>
      </c>
      <c r="N14" s="7" t="s">
        <v>698</v>
      </c>
      <c r="O14" s="7" t="s">
        <v>444</v>
      </c>
      <c r="R14" s="7" t="s">
        <v>445</v>
      </c>
      <c r="T14" s="7" t="s">
        <v>660</v>
      </c>
    </row>
    <row r="15" spans="1:22" x14ac:dyDescent="0.5">
      <c r="A15" s="7">
        <v>14</v>
      </c>
      <c r="B15" s="7" t="s">
        <v>116</v>
      </c>
      <c r="C15" s="7" t="s">
        <v>252</v>
      </c>
      <c r="D15" s="7" t="s">
        <v>472</v>
      </c>
      <c r="E15" s="8">
        <v>29293</v>
      </c>
      <c r="F15" s="7">
        <v>2800300234</v>
      </c>
      <c r="G15" s="15" t="s">
        <v>790</v>
      </c>
      <c r="H15" s="9">
        <v>10000045319323</v>
      </c>
      <c r="I15" s="7" t="s">
        <v>436</v>
      </c>
      <c r="J15" s="7" t="s">
        <v>694</v>
      </c>
      <c r="K15" s="7" t="s">
        <v>683</v>
      </c>
      <c r="L15" s="7" t="s">
        <v>699</v>
      </c>
      <c r="M15" s="7" t="s">
        <v>696</v>
      </c>
      <c r="N15" s="7" t="s">
        <v>700</v>
      </c>
      <c r="O15" s="7" t="s">
        <v>442</v>
      </c>
      <c r="R15" s="7" t="s">
        <v>445</v>
      </c>
      <c r="T15" s="7" t="s">
        <v>660</v>
      </c>
    </row>
    <row r="16" spans="1:22" x14ac:dyDescent="0.5">
      <c r="A16" s="7">
        <v>15</v>
      </c>
      <c r="B16" s="7" t="s">
        <v>81</v>
      </c>
      <c r="C16" s="7" t="s">
        <v>216</v>
      </c>
      <c r="D16" s="7" t="s">
        <v>472</v>
      </c>
      <c r="E16" s="8">
        <v>25118</v>
      </c>
      <c r="F16" s="7">
        <v>2680300173</v>
      </c>
      <c r="G16" s="15" t="s">
        <v>701</v>
      </c>
      <c r="H16" s="9">
        <v>10000067479616</v>
      </c>
      <c r="I16" s="7" t="s">
        <v>436</v>
      </c>
      <c r="J16" s="7" t="s">
        <v>702</v>
      </c>
      <c r="K16" s="7" t="s">
        <v>670</v>
      </c>
      <c r="L16" s="7" t="s">
        <v>703</v>
      </c>
      <c r="M16" s="7" t="s">
        <v>696</v>
      </c>
      <c r="N16" s="7" t="s">
        <v>703</v>
      </c>
      <c r="O16" s="7" t="s">
        <v>696</v>
      </c>
      <c r="R16" s="7" t="s">
        <v>704</v>
      </c>
      <c r="T16" s="7" t="s">
        <v>672</v>
      </c>
      <c r="U16" s="7" t="s">
        <v>705</v>
      </c>
    </row>
    <row r="17" spans="1:21" x14ac:dyDescent="0.5">
      <c r="A17" s="7">
        <v>16</v>
      </c>
      <c r="B17" s="7" t="s">
        <v>706</v>
      </c>
      <c r="C17" s="7" t="s">
        <v>225</v>
      </c>
      <c r="D17" s="7" t="s">
        <v>472</v>
      </c>
      <c r="E17" s="8">
        <v>32033</v>
      </c>
      <c r="F17" s="7">
        <v>2871400116</v>
      </c>
      <c r="G17" s="15" t="s">
        <v>791</v>
      </c>
      <c r="H17" s="9">
        <v>10000026043818</v>
      </c>
      <c r="I17" s="7" t="s">
        <v>436</v>
      </c>
      <c r="J17" s="7" t="s">
        <v>551</v>
      </c>
      <c r="K17" s="7" t="s">
        <v>670</v>
      </c>
      <c r="L17" s="7" t="s">
        <v>532</v>
      </c>
      <c r="M17" s="7" t="s">
        <v>442</v>
      </c>
      <c r="N17" s="7" t="s">
        <v>532</v>
      </c>
      <c r="O17" s="7" t="s">
        <v>442</v>
      </c>
      <c r="T17" s="7" t="s">
        <v>672</v>
      </c>
      <c r="U17" s="7" t="s">
        <v>707</v>
      </c>
    </row>
    <row r="18" spans="1:21" x14ac:dyDescent="0.5">
      <c r="A18" s="7">
        <v>17</v>
      </c>
      <c r="B18" s="7" t="s">
        <v>87</v>
      </c>
      <c r="C18" s="7" t="s">
        <v>223</v>
      </c>
      <c r="D18" s="7" t="s">
        <v>437</v>
      </c>
      <c r="E18" s="8">
        <v>31268</v>
      </c>
      <c r="F18" s="7">
        <v>1850800312</v>
      </c>
      <c r="G18" s="15" t="s">
        <v>708</v>
      </c>
      <c r="H18" s="9">
        <v>10000165294010</v>
      </c>
      <c r="I18" s="7" t="s">
        <v>436</v>
      </c>
      <c r="J18" s="7" t="s">
        <v>551</v>
      </c>
      <c r="K18" s="7" t="s">
        <v>670</v>
      </c>
      <c r="L18" s="7" t="s">
        <v>709</v>
      </c>
      <c r="M18" s="7" t="s">
        <v>442</v>
      </c>
      <c r="N18" s="7" t="s">
        <v>710</v>
      </c>
      <c r="O18" s="7" t="s">
        <v>442</v>
      </c>
      <c r="R18" s="7" t="s">
        <v>711</v>
      </c>
      <c r="T18" s="7" t="s">
        <v>672</v>
      </c>
      <c r="U18" s="7" t="s">
        <v>460</v>
      </c>
    </row>
    <row r="19" spans="1:21" x14ac:dyDescent="0.5">
      <c r="A19" s="7">
        <v>18</v>
      </c>
      <c r="B19" s="7" t="s">
        <v>84</v>
      </c>
      <c r="C19" s="7" t="s">
        <v>220</v>
      </c>
      <c r="D19" s="7" t="s">
        <v>437</v>
      </c>
      <c r="E19" s="8">
        <v>33169</v>
      </c>
      <c r="F19" s="7">
        <v>1901200129</v>
      </c>
      <c r="G19" s="15" t="s">
        <v>712</v>
      </c>
      <c r="H19" s="9">
        <v>10000197599010</v>
      </c>
      <c r="I19" s="7" t="s">
        <v>436</v>
      </c>
      <c r="J19" s="7" t="s">
        <v>514</v>
      </c>
      <c r="K19" s="7" t="s">
        <v>670</v>
      </c>
      <c r="L19" s="7" t="s">
        <v>449</v>
      </c>
      <c r="M19" s="7" t="s">
        <v>442</v>
      </c>
      <c r="N19" s="7" t="s">
        <v>449</v>
      </c>
      <c r="O19" s="7" t="s">
        <v>444</v>
      </c>
      <c r="R19" s="7" t="s">
        <v>713</v>
      </c>
      <c r="T19" s="7" t="s">
        <v>672</v>
      </c>
      <c r="U19" s="7" t="s">
        <v>449</v>
      </c>
    </row>
    <row r="20" spans="1:21" x14ac:dyDescent="0.5">
      <c r="A20" s="7">
        <v>19</v>
      </c>
      <c r="B20" s="7" t="s">
        <v>92</v>
      </c>
      <c r="C20" s="7" t="s">
        <v>228</v>
      </c>
      <c r="D20" s="7" t="s">
        <v>437</v>
      </c>
      <c r="E20" s="8">
        <v>33109</v>
      </c>
      <c r="F20" s="7">
        <v>1901200130</v>
      </c>
      <c r="G20" s="15" t="s">
        <v>792</v>
      </c>
      <c r="H20" s="9">
        <v>10000197026111</v>
      </c>
      <c r="I20" s="7" t="s">
        <v>436</v>
      </c>
      <c r="J20" s="7" t="s">
        <v>614</v>
      </c>
      <c r="K20" s="7" t="s">
        <v>670</v>
      </c>
      <c r="L20" s="7" t="s">
        <v>714</v>
      </c>
      <c r="M20" s="7" t="s">
        <v>442</v>
      </c>
      <c r="N20" s="7" t="s">
        <v>569</v>
      </c>
      <c r="O20" s="7" t="s">
        <v>444</v>
      </c>
      <c r="R20" s="7" t="s">
        <v>516</v>
      </c>
      <c r="T20" s="7" t="s">
        <v>672</v>
      </c>
      <c r="U20" s="7" t="s">
        <v>715</v>
      </c>
    </row>
    <row r="21" spans="1:21" x14ac:dyDescent="0.5">
      <c r="A21" s="7">
        <v>20</v>
      </c>
      <c r="B21" s="7" t="s">
        <v>90</v>
      </c>
      <c r="C21" s="7" t="s">
        <v>226</v>
      </c>
      <c r="D21" s="7" t="s">
        <v>472</v>
      </c>
      <c r="E21" s="8">
        <v>33046</v>
      </c>
      <c r="F21" s="7">
        <v>2900300321</v>
      </c>
      <c r="G21" s="15" t="s">
        <v>716</v>
      </c>
      <c r="H21" s="9">
        <v>10000197073111</v>
      </c>
      <c r="I21" s="7" t="s">
        <v>436</v>
      </c>
      <c r="J21" s="7" t="s">
        <v>551</v>
      </c>
      <c r="K21" s="7" t="s">
        <v>670</v>
      </c>
      <c r="L21" s="7" t="s">
        <v>454</v>
      </c>
      <c r="M21" s="7" t="s">
        <v>442</v>
      </c>
      <c r="N21" s="7" t="s">
        <v>454</v>
      </c>
      <c r="O21" s="7" t="s">
        <v>444</v>
      </c>
      <c r="R21" s="7" t="s">
        <v>717</v>
      </c>
      <c r="T21" s="7" t="s">
        <v>672</v>
      </c>
      <c r="U21" s="7" t="s">
        <v>718</v>
      </c>
    </row>
    <row r="22" spans="1:21" x14ac:dyDescent="0.5">
      <c r="A22" s="7">
        <v>21</v>
      </c>
      <c r="B22" s="7" t="s">
        <v>88</v>
      </c>
      <c r="C22" s="7" t="s">
        <v>224</v>
      </c>
      <c r="D22" s="7" t="s">
        <v>437</v>
      </c>
      <c r="E22" s="8">
        <v>31175</v>
      </c>
      <c r="F22" s="7">
        <v>1850300085</v>
      </c>
      <c r="G22" s="15" t="s">
        <v>793</v>
      </c>
      <c r="H22" s="9">
        <v>10000170805010</v>
      </c>
      <c r="I22" s="7" t="s">
        <v>436</v>
      </c>
      <c r="J22" s="7" t="s">
        <v>551</v>
      </c>
      <c r="K22" s="7" t="s">
        <v>670</v>
      </c>
      <c r="L22" s="7" t="s">
        <v>719</v>
      </c>
      <c r="M22" s="7" t="s">
        <v>442</v>
      </c>
      <c r="N22" s="7" t="s">
        <v>536</v>
      </c>
      <c r="O22" s="7" t="s">
        <v>444</v>
      </c>
      <c r="R22" s="7" t="s">
        <v>445</v>
      </c>
      <c r="T22" s="7" t="s">
        <v>672</v>
      </c>
      <c r="U22" s="7" t="s">
        <v>719</v>
      </c>
    </row>
    <row r="23" spans="1:21" x14ac:dyDescent="0.5">
      <c r="A23" s="7">
        <v>22</v>
      </c>
      <c r="B23" s="7" t="s">
        <v>91</v>
      </c>
      <c r="C23" s="7" t="s">
        <v>227</v>
      </c>
      <c r="D23" s="7" t="s">
        <v>472</v>
      </c>
      <c r="E23" s="8">
        <v>32011</v>
      </c>
      <c r="F23" s="7">
        <v>2870300008</v>
      </c>
      <c r="G23" s="15" t="s">
        <v>720</v>
      </c>
      <c r="H23" s="9">
        <v>10000054775111</v>
      </c>
      <c r="I23" s="7" t="s">
        <v>436</v>
      </c>
      <c r="J23" s="7" t="s">
        <v>614</v>
      </c>
      <c r="K23" s="7" t="s">
        <v>670</v>
      </c>
      <c r="L23" s="7" t="s">
        <v>536</v>
      </c>
      <c r="M23" s="7" t="s">
        <v>442</v>
      </c>
      <c r="N23" s="7" t="s">
        <v>721</v>
      </c>
      <c r="O23" s="7" t="s">
        <v>444</v>
      </c>
      <c r="R23" s="7" t="s">
        <v>445</v>
      </c>
      <c r="T23" s="7" t="s">
        <v>672</v>
      </c>
      <c r="U23" s="7" t="s">
        <v>722</v>
      </c>
    </row>
    <row r="24" spans="1:21" x14ac:dyDescent="0.5">
      <c r="A24" s="7">
        <v>23</v>
      </c>
      <c r="B24" s="7" t="s">
        <v>85</v>
      </c>
      <c r="C24" s="7" t="s">
        <v>221</v>
      </c>
      <c r="D24" s="7" t="s">
        <v>472</v>
      </c>
      <c r="E24" s="8">
        <v>24814</v>
      </c>
      <c r="F24" s="7">
        <v>2670800184</v>
      </c>
      <c r="G24" s="15" t="s">
        <v>723</v>
      </c>
      <c r="H24" s="9">
        <v>10000165500717</v>
      </c>
      <c r="I24" s="7" t="s">
        <v>436</v>
      </c>
      <c r="J24" s="7" t="s">
        <v>518</v>
      </c>
      <c r="K24" s="7" t="s">
        <v>670</v>
      </c>
      <c r="L24" s="7" t="s">
        <v>724</v>
      </c>
      <c r="M24" s="7" t="s">
        <v>696</v>
      </c>
      <c r="N24" s="7" t="s">
        <v>485</v>
      </c>
      <c r="O24" s="7" t="s">
        <v>442</v>
      </c>
      <c r="R24" s="7" t="s">
        <v>445</v>
      </c>
      <c r="T24" s="7" t="s">
        <v>672</v>
      </c>
      <c r="U24" s="7" t="s">
        <v>485</v>
      </c>
    </row>
    <row r="25" spans="1:21" x14ac:dyDescent="0.5">
      <c r="A25" s="7">
        <v>24</v>
      </c>
      <c r="B25" s="7" t="s">
        <v>83</v>
      </c>
      <c r="C25" s="7" t="s">
        <v>219</v>
      </c>
      <c r="D25" s="7" t="s">
        <v>472</v>
      </c>
      <c r="E25" s="8">
        <v>30458</v>
      </c>
      <c r="F25" s="7">
        <v>2830300017</v>
      </c>
      <c r="G25" s="15" t="s">
        <v>725</v>
      </c>
      <c r="H25" s="9">
        <v>34470169075416</v>
      </c>
      <c r="I25" s="7" t="s">
        <v>436</v>
      </c>
      <c r="J25" s="7" t="s">
        <v>514</v>
      </c>
      <c r="K25" s="7" t="s">
        <v>670</v>
      </c>
      <c r="L25" s="7" t="s">
        <v>479</v>
      </c>
      <c r="M25" s="7" t="s">
        <v>442</v>
      </c>
      <c r="N25" s="7" t="s">
        <v>573</v>
      </c>
      <c r="O25" s="7" t="s">
        <v>444</v>
      </c>
      <c r="R25" s="7" t="s">
        <v>445</v>
      </c>
      <c r="T25" s="7" t="s">
        <v>672</v>
      </c>
      <c r="U25" s="7" t="s">
        <v>573</v>
      </c>
    </row>
    <row r="26" spans="1:21" x14ac:dyDescent="0.5">
      <c r="A26" s="7">
        <v>25</v>
      </c>
      <c r="B26" s="7" t="s">
        <v>93</v>
      </c>
      <c r="C26" s="7" t="s">
        <v>229</v>
      </c>
      <c r="D26" s="7" t="s">
        <v>472</v>
      </c>
      <c r="E26" s="8">
        <v>31433</v>
      </c>
      <c r="F26" s="7">
        <v>2860300359</v>
      </c>
      <c r="G26" s="15" t="s">
        <v>726</v>
      </c>
      <c r="H26" s="9">
        <v>10000041490119</v>
      </c>
      <c r="I26" s="7" t="s">
        <v>436</v>
      </c>
      <c r="J26" s="7" t="s">
        <v>526</v>
      </c>
      <c r="K26" s="7" t="s">
        <v>670</v>
      </c>
      <c r="L26" s="7" t="s">
        <v>597</v>
      </c>
      <c r="M26" s="7" t="s">
        <v>442</v>
      </c>
      <c r="N26" s="7" t="s">
        <v>665</v>
      </c>
      <c r="O26" s="7" t="s">
        <v>442</v>
      </c>
      <c r="R26" s="7" t="s">
        <v>445</v>
      </c>
      <c r="T26" s="7" t="s">
        <v>672</v>
      </c>
      <c r="U26" s="7" t="s">
        <v>597</v>
      </c>
    </row>
    <row r="27" spans="1:21" x14ac:dyDescent="0.5">
      <c r="A27" s="7">
        <v>26</v>
      </c>
      <c r="B27" s="7" t="s">
        <v>727</v>
      </c>
      <c r="C27" s="7" t="s">
        <v>222</v>
      </c>
      <c r="D27" s="7" t="s">
        <v>437</v>
      </c>
      <c r="E27" s="8">
        <v>30805</v>
      </c>
      <c r="F27" s="7">
        <v>1840300396</v>
      </c>
      <c r="G27" s="15" t="s">
        <v>728</v>
      </c>
      <c r="H27" s="9">
        <v>10000165436616</v>
      </c>
      <c r="I27" s="7" t="s">
        <v>436</v>
      </c>
      <c r="J27" s="7" t="s">
        <v>551</v>
      </c>
      <c r="K27" s="7" t="s">
        <v>670</v>
      </c>
      <c r="L27" s="7" t="s">
        <v>729</v>
      </c>
      <c r="M27" s="7" t="s">
        <v>442</v>
      </c>
      <c r="N27" s="7" t="s">
        <v>729</v>
      </c>
      <c r="O27" s="7" t="s">
        <v>442</v>
      </c>
      <c r="R27" s="7" t="s">
        <v>445</v>
      </c>
      <c r="T27" s="7" t="s">
        <v>672</v>
      </c>
      <c r="U27" s="7" t="s">
        <v>460</v>
      </c>
    </row>
    <row r="28" spans="1:21" x14ac:dyDescent="0.5">
      <c r="A28" s="7">
        <v>27</v>
      </c>
      <c r="B28" s="7" t="s">
        <v>98</v>
      </c>
      <c r="C28" s="7" t="s">
        <v>234</v>
      </c>
      <c r="D28" s="7" t="s">
        <v>472</v>
      </c>
      <c r="E28" s="8">
        <v>25600</v>
      </c>
      <c r="F28" s="7">
        <v>2700300301</v>
      </c>
      <c r="G28" s="15" t="s">
        <v>730</v>
      </c>
      <c r="H28" s="9">
        <v>10000165508111</v>
      </c>
      <c r="I28" s="7" t="s">
        <v>436</v>
      </c>
      <c r="J28" s="7" t="s">
        <v>484</v>
      </c>
      <c r="K28" s="7" t="s">
        <v>670</v>
      </c>
      <c r="L28" s="7" t="s">
        <v>454</v>
      </c>
      <c r="M28" s="7" t="s">
        <v>671</v>
      </c>
      <c r="N28" s="7" t="s">
        <v>466</v>
      </c>
      <c r="O28" s="7" t="s">
        <v>671</v>
      </c>
      <c r="T28" s="7" t="s">
        <v>672</v>
      </c>
      <c r="U28" s="7" t="s">
        <v>718</v>
      </c>
    </row>
    <row r="29" spans="1:21" x14ac:dyDescent="0.5">
      <c r="A29" s="7">
        <v>28</v>
      </c>
      <c r="B29" s="7" t="s">
        <v>96</v>
      </c>
      <c r="C29" s="7" t="s">
        <v>232</v>
      </c>
      <c r="D29" s="7" t="s">
        <v>437</v>
      </c>
      <c r="E29" s="8">
        <v>25331</v>
      </c>
      <c r="F29" s="7">
        <v>1690300442</v>
      </c>
      <c r="G29" s="15" t="s">
        <v>731</v>
      </c>
      <c r="H29" s="9">
        <v>10000165468717</v>
      </c>
      <c r="I29" s="7" t="s">
        <v>436</v>
      </c>
      <c r="J29" s="7" t="s">
        <v>589</v>
      </c>
      <c r="K29" s="7" t="s">
        <v>670</v>
      </c>
      <c r="L29" s="7" t="s">
        <v>449</v>
      </c>
      <c r="M29" s="7" t="s">
        <v>696</v>
      </c>
      <c r="N29" s="7" t="s">
        <v>449</v>
      </c>
      <c r="O29" s="7" t="s">
        <v>444</v>
      </c>
      <c r="R29" s="7" t="s">
        <v>445</v>
      </c>
      <c r="T29" s="7" t="s">
        <v>672</v>
      </c>
      <c r="U29" s="7" t="s">
        <v>449</v>
      </c>
    </row>
    <row r="30" spans="1:21" x14ac:dyDescent="0.5">
      <c r="A30" s="7">
        <v>29</v>
      </c>
      <c r="B30" s="7" t="s">
        <v>732</v>
      </c>
      <c r="C30" s="7" t="s">
        <v>235</v>
      </c>
      <c r="D30" s="7" t="s">
        <v>437</v>
      </c>
      <c r="E30" s="8">
        <v>25268</v>
      </c>
      <c r="F30" s="7">
        <v>1690300322</v>
      </c>
      <c r="G30" s="15" t="s">
        <v>733</v>
      </c>
      <c r="H30" s="9">
        <v>10000165495919</v>
      </c>
      <c r="I30" s="7" t="s">
        <v>436</v>
      </c>
      <c r="J30" s="7" t="s">
        <v>734</v>
      </c>
      <c r="K30" s="7" t="s">
        <v>670</v>
      </c>
      <c r="L30" s="7" t="s">
        <v>449</v>
      </c>
      <c r="M30" s="7" t="s">
        <v>696</v>
      </c>
      <c r="N30" s="7" t="s">
        <v>685</v>
      </c>
      <c r="O30" s="7" t="s">
        <v>442</v>
      </c>
      <c r="R30" s="7" t="s">
        <v>445</v>
      </c>
      <c r="T30" s="7" t="s">
        <v>672</v>
      </c>
      <c r="U30" s="7" t="s">
        <v>449</v>
      </c>
    </row>
    <row r="31" spans="1:21" x14ac:dyDescent="0.5">
      <c r="A31" s="7">
        <v>30</v>
      </c>
      <c r="B31" s="7" t="s">
        <v>735</v>
      </c>
      <c r="C31" s="7" t="s">
        <v>240</v>
      </c>
      <c r="D31" s="7" t="s">
        <v>437</v>
      </c>
      <c r="E31" s="8">
        <v>31919</v>
      </c>
      <c r="F31" s="7">
        <v>1870300100</v>
      </c>
      <c r="G31" s="15" t="s">
        <v>736</v>
      </c>
      <c r="H31" s="9">
        <v>10000166466717</v>
      </c>
      <c r="I31" s="7" t="s">
        <v>436</v>
      </c>
      <c r="J31" s="7" t="s">
        <v>484</v>
      </c>
      <c r="K31" s="7" t="s">
        <v>670</v>
      </c>
      <c r="L31" s="7" t="s">
        <v>737</v>
      </c>
      <c r="M31" s="7" t="s">
        <v>696</v>
      </c>
      <c r="N31" s="7" t="s">
        <v>485</v>
      </c>
      <c r="O31" s="7" t="s">
        <v>442</v>
      </c>
      <c r="P31" s="7" t="s">
        <v>738</v>
      </c>
      <c r="Q31" s="7" t="s">
        <v>444</v>
      </c>
      <c r="R31" s="7" t="s">
        <v>739</v>
      </c>
      <c r="T31" s="7" t="s">
        <v>672</v>
      </c>
      <c r="U31" s="7" t="s">
        <v>740</v>
      </c>
    </row>
    <row r="32" spans="1:21" x14ac:dyDescent="0.5">
      <c r="A32" s="7">
        <v>31</v>
      </c>
      <c r="B32" s="7" t="s">
        <v>97</v>
      </c>
      <c r="C32" s="7" t="s">
        <v>233</v>
      </c>
      <c r="D32" s="7" t="s">
        <v>472</v>
      </c>
      <c r="E32" s="8">
        <v>29356</v>
      </c>
      <c r="F32" s="7">
        <v>2800300061</v>
      </c>
      <c r="G32" s="15" t="s">
        <v>794</v>
      </c>
      <c r="H32" s="9">
        <v>10000165432515</v>
      </c>
      <c r="I32" s="7" t="s">
        <v>436</v>
      </c>
      <c r="J32" s="7" t="s">
        <v>741</v>
      </c>
      <c r="K32" s="7" t="s">
        <v>670</v>
      </c>
      <c r="L32" s="7" t="s">
        <v>742</v>
      </c>
      <c r="M32" s="7" t="s">
        <v>696</v>
      </c>
      <c r="N32" s="7" t="s">
        <v>485</v>
      </c>
      <c r="O32" s="7" t="s">
        <v>442</v>
      </c>
      <c r="R32" s="7" t="s">
        <v>516</v>
      </c>
      <c r="T32" s="7" t="s">
        <v>672</v>
      </c>
      <c r="U32" s="7" t="s">
        <v>743</v>
      </c>
    </row>
    <row r="33" spans="1:21" x14ac:dyDescent="0.5">
      <c r="A33" s="7">
        <v>32</v>
      </c>
      <c r="B33" s="7" t="s">
        <v>100</v>
      </c>
      <c r="C33" s="7" t="s">
        <v>236</v>
      </c>
      <c r="D33" s="7" t="s">
        <v>437</v>
      </c>
      <c r="E33" s="8">
        <v>26973</v>
      </c>
      <c r="F33" s="7">
        <v>1730300451</v>
      </c>
      <c r="G33" s="15" t="s">
        <v>744</v>
      </c>
      <c r="H33" s="9">
        <v>10000165475313</v>
      </c>
      <c r="I33" s="7" t="s">
        <v>436</v>
      </c>
      <c r="J33" s="7" t="s">
        <v>478</v>
      </c>
      <c r="K33" s="7" t="s">
        <v>670</v>
      </c>
      <c r="L33" s="7" t="s">
        <v>656</v>
      </c>
      <c r="M33" s="7" t="s">
        <v>671</v>
      </c>
      <c r="N33" s="7" t="s">
        <v>656</v>
      </c>
      <c r="O33" s="7" t="s">
        <v>671</v>
      </c>
      <c r="R33" s="7" t="s">
        <v>745</v>
      </c>
      <c r="T33" s="7" t="s">
        <v>672</v>
      </c>
      <c r="U33" s="7" t="s">
        <v>656</v>
      </c>
    </row>
    <row r="34" spans="1:21" x14ac:dyDescent="0.5">
      <c r="A34" s="7">
        <v>33</v>
      </c>
      <c r="B34" s="7" t="s">
        <v>103</v>
      </c>
      <c r="C34" s="7" t="s">
        <v>239</v>
      </c>
      <c r="D34" s="7" t="s">
        <v>472</v>
      </c>
      <c r="E34" s="8">
        <v>30326</v>
      </c>
      <c r="F34" s="7">
        <v>2830300078</v>
      </c>
      <c r="G34" s="15" t="s">
        <v>746</v>
      </c>
      <c r="H34" s="9">
        <v>10000166475616</v>
      </c>
      <c r="I34" s="7" t="s">
        <v>436</v>
      </c>
      <c r="J34" s="7" t="s">
        <v>484</v>
      </c>
      <c r="K34" s="7" t="s">
        <v>670</v>
      </c>
      <c r="L34" s="7" t="s">
        <v>747</v>
      </c>
      <c r="M34" s="7" t="s">
        <v>696</v>
      </c>
      <c r="N34" s="7" t="s">
        <v>454</v>
      </c>
      <c r="O34" s="7" t="s">
        <v>444</v>
      </c>
      <c r="R34" s="7" t="s">
        <v>445</v>
      </c>
      <c r="T34" s="7" t="s">
        <v>672</v>
      </c>
      <c r="U34" s="7" t="s">
        <v>718</v>
      </c>
    </row>
    <row r="35" spans="1:21" x14ac:dyDescent="0.5">
      <c r="A35" s="7">
        <v>34</v>
      </c>
      <c r="B35" s="7" t="s">
        <v>748</v>
      </c>
      <c r="C35" s="7" t="s">
        <v>238</v>
      </c>
      <c r="D35" s="7" t="s">
        <v>472</v>
      </c>
      <c r="E35" s="8">
        <v>29899</v>
      </c>
      <c r="F35" s="7">
        <v>2810300025</v>
      </c>
      <c r="G35" s="15" t="s">
        <v>749</v>
      </c>
      <c r="H35" s="9">
        <v>10000165484515</v>
      </c>
      <c r="I35" s="7" t="s">
        <v>436</v>
      </c>
      <c r="J35" s="7" t="s">
        <v>484</v>
      </c>
      <c r="K35" s="7" t="s">
        <v>670</v>
      </c>
      <c r="L35" s="7" t="s">
        <v>479</v>
      </c>
      <c r="M35" s="7" t="s">
        <v>676</v>
      </c>
      <c r="N35" s="7" t="s">
        <v>750</v>
      </c>
      <c r="O35" s="7" t="s">
        <v>442</v>
      </c>
      <c r="R35" s="7" t="s">
        <v>445</v>
      </c>
      <c r="T35" s="7" t="s">
        <v>672</v>
      </c>
      <c r="U35" s="7" t="s">
        <v>751</v>
      </c>
    </row>
    <row r="36" spans="1:21" x14ac:dyDescent="0.5">
      <c r="A36" s="7">
        <v>35</v>
      </c>
      <c r="B36" s="7" t="s">
        <v>106</v>
      </c>
      <c r="C36" s="7" t="s">
        <v>242</v>
      </c>
      <c r="D36" s="7" t="s">
        <v>472</v>
      </c>
      <c r="E36" s="8">
        <v>33520</v>
      </c>
      <c r="F36" s="7">
        <v>2910300165</v>
      </c>
      <c r="G36" s="15" t="s">
        <v>752</v>
      </c>
      <c r="H36" s="9">
        <v>34480169244010</v>
      </c>
      <c r="I36" s="7" t="s">
        <v>436</v>
      </c>
      <c r="J36" s="7" t="s">
        <v>484</v>
      </c>
      <c r="K36" s="7" t="s">
        <v>670</v>
      </c>
      <c r="L36" s="7" t="s">
        <v>753</v>
      </c>
      <c r="M36" s="7" t="s">
        <v>696</v>
      </c>
      <c r="N36" s="7" t="s">
        <v>466</v>
      </c>
      <c r="O36" s="7" t="s">
        <v>444</v>
      </c>
      <c r="R36" s="7" t="s">
        <v>445</v>
      </c>
      <c r="T36" s="7" t="s">
        <v>672</v>
      </c>
      <c r="U36" s="7" t="s">
        <v>754</v>
      </c>
    </row>
    <row r="37" spans="1:21" x14ac:dyDescent="0.5">
      <c r="A37" s="7">
        <v>36</v>
      </c>
      <c r="B37" s="7" t="s">
        <v>105</v>
      </c>
      <c r="C37" s="7" t="s">
        <v>241</v>
      </c>
      <c r="D37" s="7" t="s">
        <v>472</v>
      </c>
      <c r="E37" s="8">
        <v>32008</v>
      </c>
      <c r="F37" s="7">
        <v>2870300157</v>
      </c>
      <c r="G37" s="15" t="s">
        <v>755</v>
      </c>
      <c r="H37" s="9">
        <v>10000166473818</v>
      </c>
      <c r="I37" s="7" t="s">
        <v>436</v>
      </c>
      <c r="J37" s="7" t="s">
        <v>484</v>
      </c>
      <c r="K37" s="7" t="s">
        <v>670</v>
      </c>
      <c r="L37" s="7" t="s">
        <v>756</v>
      </c>
      <c r="M37" s="7" t="s">
        <v>696</v>
      </c>
      <c r="N37" s="7" t="s">
        <v>532</v>
      </c>
      <c r="O37" s="7" t="s">
        <v>444</v>
      </c>
      <c r="R37" s="7" t="s">
        <v>445</v>
      </c>
      <c r="T37" s="7" t="s">
        <v>672</v>
      </c>
      <c r="U37" s="7" t="s">
        <v>757</v>
      </c>
    </row>
    <row r="38" spans="1:21" x14ac:dyDescent="0.5">
      <c r="A38" s="7">
        <v>37</v>
      </c>
      <c r="B38" s="7" t="s">
        <v>101</v>
      </c>
      <c r="C38" s="7" t="s">
        <v>237</v>
      </c>
      <c r="D38" s="7" t="s">
        <v>472</v>
      </c>
      <c r="E38" s="8">
        <v>28715</v>
      </c>
      <c r="F38" s="7">
        <v>2780300027</v>
      </c>
      <c r="G38" s="15" t="s">
        <v>758</v>
      </c>
      <c r="H38" s="9">
        <v>10000166469515</v>
      </c>
      <c r="I38" s="7" t="s">
        <v>436</v>
      </c>
      <c r="J38" s="7" t="s">
        <v>484</v>
      </c>
      <c r="K38" s="7" t="s">
        <v>670</v>
      </c>
      <c r="L38" s="7" t="s">
        <v>479</v>
      </c>
      <c r="M38" s="7" t="s">
        <v>676</v>
      </c>
      <c r="N38" s="7" t="s">
        <v>485</v>
      </c>
      <c r="O38" s="7" t="s">
        <v>442</v>
      </c>
      <c r="R38" s="7" t="s">
        <v>759</v>
      </c>
      <c r="T38" s="7" t="s">
        <v>672</v>
      </c>
      <c r="U38" s="7" t="s">
        <v>760</v>
      </c>
    </row>
    <row r="39" spans="1:21" x14ac:dyDescent="0.5">
      <c r="A39" s="7">
        <v>38</v>
      </c>
      <c r="B39" s="7" t="s">
        <v>110</v>
      </c>
      <c r="C39" s="7" t="s">
        <v>246</v>
      </c>
      <c r="D39" s="7" t="s">
        <v>472</v>
      </c>
      <c r="E39" s="8">
        <v>34236</v>
      </c>
      <c r="F39" s="7">
        <v>2930300284</v>
      </c>
      <c r="G39" s="15" t="s">
        <v>761</v>
      </c>
      <c r="H39" s="9">
        <v>10000250984110</v>
      </c>
      <c r="I39" s="7" t="s">
        <v>436</v>
      </c>
      <c r="J39" s="7" t="s">
        <v>694</v>
      </c>
      <c r="K39" s="7" t="s">
        <v>670</v>
      </c>
      <c r="L39" s="7" t="s">
        <v>536</v>
      </c>
      <c r="M39" s="7" t="s">
        <v>696</v>
      </c>
      <c r="N39" s="7" t="s">
        <v>762</v>
      </c>
      <c r="O39" s="7" t="s">
        <v>442</v>
      </c>
      <c r="R39" s="7" t="s">
        <v>763</v>
      </c>
      <c r="T39" s="7" t="s">
        <v>672</v>
      </c>
      <c r="U39" s="7" t="s">
        <v>764</v>
      </c>
    </row>
    <row r="40" spans="1:21" x14ac:dyDescent="0.5">
      <c r="A40" s="7">
        <v>39</v>
      </c>
      <c r="B40" s="7" t="s">
        <v>111</v>
      </c>
      <c r="C40" s="7" t="s">
        <v>247</v>
      </c>
      <c r="D40" s="7" t="s">
        <v>437</v>
      </c>
      <c r="E40" s="8">
        <v>34573</v>
      </c>
      <c r="F40" s="7">
        <v>1942000040</v>
      </c>
      <c r="G40" s="15" t="s">
        <v>765</v>
      </c>
      <c r="H40" s="9">
        <v>10000250829019</v>
      </c>
      <c r="I40" s="7" t="s">
        <v>436</v>
      </c>
      <c r="J40" s="7" t="s">
        <v>694</v>
      </c>
      <c r="K40" s="7" t="s">
        <v>670</v>
      </c>
      <c r="L40" s="7" t="s">
        <v>766</v>
      </c>
      <c r="M40" s="7" t="s">
        <v>676</v>
      </c>
      <c r="N40" s="7" t="s">
        <v>766</v>
      </c>
      <c r="O40" s="7" t="s">
        <v>671</v>
      </c>
      <c r="T40" s="7" t="s">
        <v>672</v>
      </c>
      <c r="U40" s="7" t="s">
        <v>767</v>
      </c>
    </row>
    <row r="41" spans="1:21" x14ac:dyDescent="0.5">
      <c r="A41" s="7">
        <v>40</v>
      </c>
      <c r="B41" s="7" t="s">
        <v>115</v>
      </c>
      <c r="C41" s="7" t="s">
        <v>251</v>
      </c>
      <c r="D41" s="7" t="s">
        <v>472</v>
      </c>
      <c r="E41" s="8">
        <v>30225</v>
      </c>
      <c r="F41" s="7">
        <v>2820300034</v>
      </c>
      <c r="G41" s="15" t="s">
        <v>796</v>
      </c>
      <c r="H41" s="9">
        <v>10000057393131</v>
      </c>
      <c r="I41" s="7" t="s">
        <v>436</v>
      </c>
      <c r="J41" s="7" t="s">
        <v>688</v>
      </c>
      <c r="K41" s="7" t="s">
        <v>670</v>
      </c>
      <c r="L41" s="7" t="s">
        <v>449</v>
      </c>
      <c r="M41" s="7" t="s">
        <v>676</v>
      </c>
      <c r="N41" s="7" t="s">
        <v>768</v>
      </c>
      <c r="O41" s="7" t="s">
        <v>444</v>
      </c>
      <c r="R41" s="7" t="s">
        <v>445</v>
      </c>
      <c r="T41" s="7" t="s">
        <v>672</v>
      </c>
      <c r="U41" s="7" t="s">
        <v>449</v>
      </c>
    </row>
    <row r="42" spans="1:21" x14ac:dyDescent="0.5">
      <c r="A42" s="7">
        <v>41</v>
      </c>
      <c r="B42" s="7" t="s">
        <v>114</v>
      </c>
      <c r="C42" s="7" t="s">
        <v>250</v>
      </c>
      <c r="D42" s="7" t="s">
        <v>437</v>
      </c>
      <c r="E42" s="8">
        <v>24870</v>
      </c>
      <c r="F42" s="7">
        <v>1680300355</v>
      </c>
      <c r="G42" s="15" t="s">
        <v>795</v>
      </c>
      <c r="H42" s="9">
        <v>10000017902313</v>
      </c>
      <c r="I42" s="7" t="s">
        <v>436</v>
      </c>
      <c r="J42" s="7" t="s">
        <v>637</v>
      </c>
      <c r="K42" s="7" t="s">
        <v>670</v>
      </c>
      <c r="L42" s="7" t="s">
        <v>449</v>
      </c>
      <c r="M42" s="7" t="s">
        <v>676</v>
      </c>
      <c r="N42" s="7" t="s">
        <v>569</v>
      </c>
      <c r="O42" s="7" t="s">
        <v>444</v>
      </c>
      <c r="R42" s="7" t="s">
        <v>445</v>
      </c>
      <c r="T42" s="7" t="s">
        <v>672</v>
      </c>
      <c r="U42" s="7" t="s">
        <v>449</v>
      </c>
    </row>
    <row r="43" spans="1:21" x14ac:dyDescent="0.5">
      <c r="A43" s="7">
        <v>42</v>
      </c>
      <c r="B43" s="7" t="s">
        <v>117</v>
      </c>
      <c r="C43" s="7" t="s">
        <v>253</v>
      </c>
      <c r="D43" s="7" t="s">
        <v>472</v>
      </c>
      <c r="E43" s="8">
        <v>36745</v>
      </c>
      <c r="F43" s="7">
        <v>2000300183</v>
      </c>
      <c r="G43" s="15" t="s">
        <v>797</v>
      </c>
      <c r="H43" s="9">
        <v>34830509782010</v>
      </c>
      <c r="I43" s="7" t="s">
        <v>436</v>
      </c>
      <c r="J43" s="7" t="s">
        <v>682</v>
      </c>
      <c r="K43" s="7" t="s">
        <v>670</v>
      </c>
      <c r="L43" s="7" t="s">
        <v>769</v>
      </c>
      <c r="M43" s="7" t="s">
        <v>442</v>
      </c>
      <c r="N43" s="7" t="s">
        <v>770</v>
      </c>
      <c r="O43" s="7" t="s">
        <v>771</v>
      </c>
      <c r="R43" s="7" t="s">
        <v>445</v>
      </c>
      <c r="T43" s="7" t="s">
        <v>672</v>
      </c>
      <c r="U43" s="7" t="s">
        <v>769</v>
      </c>
    </row>
    <row r="44" spans="1:21" x14ac:dyDescent="0.5">
      <c r="A44" s="7">
        <v>43</v>
      </c>
      <c r="B44" s="7" t="s">
        <v>118</v>
      </c>
      <c r="C44" s="7" t="s">
        <v>254</v>
      </c>
      <c r="D44" s="7" t="s">
        <v>437</v>
      </c>
      <c r="E44" s="8">
        <v>36521</v>
      </c>
      <c r="F44" s="7">
        <v>1990300147</v>
      </c>
      <c r="G44" s="15" t="s">
        <v>798</v>
      </c>
      <c r="H44" s="9">
        <v>34830509666212</v>
      </c>
      <c r="I44" s="7" t="s">
        <v>436</v>
      </c>
      <c r="J44" s="7" t="s">
        <v>682</v>
      </c>
      <c r="K44" s="7" t="s">
        <v>670</v>
      </c>
      <c r="L44" s="7" t="s">
        <v>449</v>
      </c>
      <c r="M44" s="7" t="s">
        <v>442</v>
      </c>
      <c r="N44" s="7" t="s">
        <v>449</v>
      </c>
      <c r="O44" s="7" t="s">
        <v>771</v>
      </c>
      <c r="R44" s="7" t="s">
        <v>445</v>
      </c>
      <c r="T44" s="7" t="s">
        <v>672</v>
      </c>
      <c r="U44" s="7" t="s">
        <v>449</v>
      </c>
    </row>
    <row r="45" spans="1:21" x14ac:dyDescent="0.5">
      <c r="A45" s="7">
        <v>44</v>
      </c>
      <c r="B45" s="7" t="s">
        <v>17</v>
      </c>
      <c r="C45" s="7" t="s">
        <v>153</v>
      </c>
      <c r="D45" s="7" t="s">
        <v>437</v>
      </c>
      <c r="E45" s="7" t="s">
        <v>438</v>
      </c>
      <c r="F45" s="7">
        <v>1680300332</v>
      </c>
      <c r="G45" s="15" t="s">
        <v>439</v>
      </c>
      <c r="H45" s="9">
        <v>10000166252414</v>
      </c>
      <c r="I45" s="7" t="s">
        <v>436</v>
      </c>
      <c r="J45" s="7" t="s">
        <v>440</v>
      </c>
      <c r="K45" s="7" t="s">
        <v>446</v>
      </c>
      <c r="L45" s="7" t="s">
        <v>441</v>
      </c>
      <c r="M45" s="7" t="s">
        <v>442</v>
      </c>
      <c r="N45" s="7" t="s">
        <v>443</v>
      </c>
      <c r="O45" s="7" t="s">
        <v>444</v>
      </c>
      <c r="R45" s="7" t="s">
        <v>445</v>
      </c>
      <c r="T45" s="7" t="s">
        <v>446</v>
      </c>
    </row>
    <row r="46" spans="1:21" x14ac:dyDescent="0.5">
      <c r="A46" s="7">
        <v>45</v>
      </c>
      <c r="B46" s="7" t="s">
        <v>19</v>
      </c>
      <c r="C46" s="7" t="s">
        <v>154</v>
      </c>
      <c r="D46" s="7" t="s">
        <v>437</v>
      </c>
      <c r="E46" s="8">
        <v>27181</v>
      </c>
      <c r="F46" s="7">
        <v>1740600213</v>
      </c>
      <c r="G46" s="15" t="s">
        <v>447</v>
      </c>
      <c r="H46" s="9">
        <v>10000166272010</v>
      </c>
      <c r="I46" s="7" t="s">
        <v>436</v>
      </c>
      <c r="J46" s="7" t="s">
        <v>448</v>
      </c>
      <c r="K46" s="7" t="s">
        <v>451</v>
      </c>
      <c r="L46" s="7" t="s">
        <v>449</v>
      </c>
      <c r="M46" s="7" t="s">
        <v>442</v>
      </c>
      <c r="N46" s="7" t="s">
        <v>449</v>
      </c>
      <c r="O46" s="7" t="s">
        <v>442</v>
      </c>
      <c r="R46" s="7" t="s">
        <v>450</v>
      </c>
      <c r="T46" s="7" t="s">
        <v>451</v>
      </c>
    </row>
    <row r="47" spans="1:21" x14ac:dyDescent="0.5">
      <c r="A47" s="7">
        <v>46</v>
      </c>
      <c r="B47" s="7" t="s">
        <v>20</v>
      </c>
      <c r="C47" s="7" t="s">
        <v>155</v>
      </c>
      <c r="D47" s="7" t="s">
        <v>437</v>
      </c>
      <c r="E47" s="8">
        <v>26094</v>
      </c>
      <c r="F47" s="7">
        <v>1710300275</v>
      </c>
      <c r="G47" s="15" t="s">
        <v>452</v>
      </c>
      <c r="H47" s="9">
        <v>10000041581212</v>
      </c>
      <c r="I47" s="7" t="s">
        <v>436</v>
      </c>
      <c r="J47" s="7" t="s">
        <v>453</v>
      </c>
      <c r="K47" s="7" t="s">
        <v>451</v>
      </c>
      <c r="L47" s="7" t="s">
        <v>454</v>
      </c>
      <c r="M47" s="7" t="s">
        <v>442</v>
      </c>
      <c r="N47" s="7" t="s">
        <v>455</v>
      </c>
      <c r="O47" s="7" t="s">
        <v>444</v>
      </c>
      <c r="R47" s="7" t="s">
        <v>445</v>
      </c>
      <c r="T47" s="7" t="s">
        <v>451</v>
      </c>
    </row>
    <row r="48" spans="1:21" x14ac:dyDescent="0.5">
      <c r="A48" s="7">
        <v>47</v>
      </c>
      <c r="B48" s="7" t="s">
        <v>456</v>
      </c>
      <c r="C48" s="7" t="s">
        <v>156</v>
      </c>
      <c r="D48" s="7" t="s">
        <v>437</v>
      </c>
      <c r="E48" s="7" t="s">
        <v>457</v>
      </c>
      <c r="F48" s="7">
        <v>1800300530</v>
      </c>
      <c r="G48" s="15" t="s">
        <v>458</v>
      </c>
      <c r="H48" s="9">
        <v>10000166327717</v>
      </c>
      <c r="I48" s="7" t="s">
        <v>436</v>
      </c>
      <c r="J48" s="7" t="s">
        <v>459</v>
      </c>
      <c r="K48" s="7" t="s">
        <v>462</v>
      </c>
      <c r="L48" s="7" t="s">
        <v>460</v>
      </c>
      <c r="M48" s="7" t="s">
        <v>442</v>
      </c>
      <c r="N48" s="7" t="s">
        <v>461</v>
      </c>
      <c r="O48" s="7" t="s">
        <v>444</v>
      </c>
      <c r="R48" s="7" t="s">
        <v>445</v>
      </c>
      <c r="T48" s="7" t="s">
        <v>462</v>
      </c>
    </row>
    <row r="49" spans="1:20" x14ac:dyDescent="0.5">
      <c r="A49" s="7">
        <v>48</v>
      </c>
      <c r="B49" s="7" t="s">
        <v>24</v>
      </c>
      <c r="C49" s="7" t="s">
        <v>159</v>
      </c>
      <c r="D49" s="7" t="s">
        <v>437</v>
      </c>
      <c r="E49" s="8" t="s">
        <v>463</v>
      </c>
      <c r="F49" s="7">
        <v>1750300438</v>
      </c>
      <c r="G49" s="15" t="s">
        <v>464</v>
      </c>
      <c r="H49" s="9">
        <v>10000166235515</v>
      </c>
      <c r="I49" s="7" t="s">
        <v>436</v>
      </c>
      <c r="J49" s="7" t="s">
        <v>465</v>
      </c>
      <c r="K49" s="7" t="s">
        <v>467</v>
      </c>
      <c r="L49" s="7" t="s">
        <v>454</v>
      </c>
      <c r="M49" s="7" t="s">
        <v>442</v>
      </c>
      <c r="N49" s="7" t="s">
        <v>466</v>
      </c>
      <c r="O49" s="7" t="s">
        <v>442</v>
      </c>
      <c r="R49" s="7" t="s">
        <v>450</v>
      </c>
      <c r="T49" s="7" t="s">
        <v>467</v>
      </c>
    </row>
    <row r="50" spans="1:20" x14ac:dyDescent="0.5">
      <c r="A50" s="7">
        <v>49</v>
      </c>
      <c r="B50" s="7" t="s">
        <v>25</v>
      </c>
      <c r="C50" s="7" t="s">
        <v>160</v>
      </c>
      <c r="D50" s="7" t="s">
        <v>437</v>
      </c>
      <c r="E50" s="8">
        <v>28895</v>
      </c>
      <c r="F50" s="7">
        <v>1790300234</v>
      </c>
      <c r="G50" s="15" t="s">
        <v>468</v>
      </c>
      <c r="H50" s="9">
        <v>10000094913313</v>
      </c>
      <c r="I50" s="7" t="s">
        <v>436</v>
      </c>
      <c r="J50" s="7" t="s">
        <v>448</v>
      </c>
      <c r="K50" s="7" t="s">
        <v>471</v>
      </c>
      <c r="L50" s="7" t="s">
        <v>469</v>
      </c>
      <c r="M50" s="7" t="s">
        <v>442</v>
      </c>
      <c r="N50" s="7" t="s">
        <v>469</v>
      </c>
      <c r="O50" s="7" t="s">
        <v>444</v>
      </c>
      <c r="R50" s="7" t="s">
        <v>470</v>
      </c>
      <c r="T50" s="7" t="s">
        <v>471</v>
      </c>
    </row>
    <row r="51" spans="1:20" x14ac:dyDescent="0.5">
      <c r="A51" s="7">
        <v>50</v>
      </c>
      <c r="B51" s="7" t="s">
        <v>22</v>
      </c>
      <c r="C51" s="7" t="s">
        <v>157</v>
      </c>
      <c r="D51" s="7" t="s">
        <v>472</v>
      </c>
      <c r="E51" s="8">
        <v>24962</v>
      </c>
      <c r="F51" s="7">
        <v>2680300154</v>
      </c>
      <c r="G51" s="15" t="s">
        <v>473</v>
      </c>
      <c r="H51" s="9">
        <v>10000022873515</v>
      </c>
      <c r="I51" s="7" t="s">
        <v>436</v>
      </c>
      <c r="J51" s="7" t="s">
        <v>474</v>
      </c>
      <c r="K51" s="7" t="s">
        <v>476</v>
      </c>
      <c r="L51" s="7" t="s">
        <v>454</v>
      </c>
      <c r="M51" s="7" t="s">
        <v>442</v>
      </c>
      <c r="N51" s="7" t="s">
        <v>475</v>
      </c>
      <c r="O51" s="7" t="s">
        <v>444</v>
      </c>
      <c r="R51" s="7" t="s">
        <v>450</v>
      </c>
      <c r="T51" s="7" t="s">
        <v>476</v>
      </c>
    </row>
    <row r="52" spans="1:20" x14ac:dyDescent="0.5">
      <c r="A52" s="7">
        <v>51</v>
      </c>
      <c r="B52" s="7" t="s">
        <v>26</v>
      </c>
      <c r="C52" s="7" t="s">
        <v>161</v>
      </c>
      <c r="D52" s="7" t="s">
        <v>472</v>
      </c>
      <c r="E52" s="8">
        <v>30111</v>
      </c>
      <c r="F52" s="7">
        <v>2820300049</v>
      </c>
      <c r="G52" s="15" t="s">
        <v>477</v>
      </c>
      <c r="H52" s="9">
        <v>10000023852312</v>
      </c>
      <c r="I52" s="7" t="s">
        <v>436</v>
      </c>
      <c r="J52" s="7" t="s">
        <v>478</v>
      </c>
      <c r="K52" s="7" t="s">
        <v>482</v>
      </c>
      <c r="L52" s="7" t="s">
        <v>479</v>
      </c>
      <c r="M52" s="7" t="s">
        <v>480</v>
      </c>
      <c r="N52" s="7" t="s">
        <v>481</v>
      </c>
      <c r="O52" s="7" t="s">
        <v>444</v>
      </c>
      <c r="R52" s="7" t="s">
        <v>450</v>
      </c>
      <c r="T52" s="7" t="s">
        <v>482</v>
      </c>
    </row>
    <row r="53" spans="1:20" x14ac:dyDescent="0.5">
      <c r="A53" s="7">
        <v>52</v>
      </c>
      <c r="B53" s="7" t="s">
        <v>27</v>
      </c>
      <c r="C53" s="7" t="s">
        <v>162</v>
      </c>
      <c r="D53" s="7" t="s">
        <v>472</v>
      </c>
      <c r="E53" s="8">
        <v>26300</v>
      </c>
      <c r="F53" s="7">
        <v>2720300109</v>
      </c>
      <c r="G53" s="15" t="s">
        <v>483</v>
      </c>
      <c r="H53" s="9">
        <v>10000165425818</v>
      </c>
      <c r="I53" s="7" t="s">
        <v>436</v>
      </c>
      <c r="J53" s="7" t="s">
        <v>484</v>
      </c>
      <c r="K53" s="7" t="s">
        <v>486</v>
      </c>
      <c r="L53" s="7" t="s">
        <v>454</v>
      </c>
      <c r="M53" s="7" t="s">
        <v>480</v>
      </c>
      <c r="N53" s="7" t="s">
        <v>485</v>
      </c>
      <c r="O53" s="7" t="s">
        <v>480</v>
      </c>
      <c r="R53" s="7" t="s">
        <v>450</v>
      </c>
      <c r="T53" s="7" t="s">
        <v>486</v>
      </c>
    </row>
    <row r="54" spans="1:20" x14ac:dyDescent="0.5">
      <c r="A54" s="7">
        <v>53</v>
      </c>
      <c r="B54" s="7" t="s">
        <v>487</v>
      </c>
      <c r="C54" s="7" t="s">
        <v>163</v>
      </c>
      <c r="D54" s="7" t="s">
        <v>437</v>
      </c>
      <c r="E54" s="8">
        <v>24233</v>
      </c>
      <c r="F54" s="7">
        <v>1660300189</v>
      </c>
      <c r="G54" s="15" t="s">
        <v>488</v>
      </c>
      <c r="H54" s="9">
        <v>10000165454111</v>
      </c>
      <c r="I54" s="7" t="s">
        <v>436</v>
      </c>
      <c r="J54" s="7" t="s">
        <v>489</v>
      </c>
      <c r="K54" s="7" t="s">
        <v>486</v>
      </c>
      <c r="L54" s="7" t="s">
        <v>490</v>
      </c>
      <c r="M54" s="7" t="s">
        <v>480</v>
      </c>
      <c r="N54" s="7" t="s">
        <v>491</v>
      </c>
      <c r="O54" s="7" t="s">
        <v>480</v>
      </c>
      <c r="R54" s="7" t="s">
        <v>450</v>
      </c>
      <c r="T54" s="7" t="s">
        <v>486</v>
      </c>
    </row>
    <row r="55" spans="1:20" x14ac:dyDescent="0.5">
      <c r="A55" s="7">
        <v>54</v>
      </c>
      <c r="B55" s="7" t="s">
        <v>492</v>
      </c>
      <c r="C55" s="7" t="s">
        <v>493</v>
      </c>
      <c r="D55" s="7" t="s">
        <v>437</v>
      </c>
      <c r="E55" s="8">
        <v>23743</v>
      </c>
      <c r="F55" s="7">
        <v>1650300131</v>
      </c>
      <c r="G55" s="15" t="s">
        <v>494</v>
      </c>
      <c r="H55" s="9">
        <v>10000117648121</v>
      </c>
      <c r="I55" s="7" t="s">
        <v>436</v>
      </c>
      <c r="J55" s="7" t="s">
        <v>495</v>
      </c>
      <c r="K55" s="7" t="s">
        <v>486</v>
      </c>
      <c r="L55" s="7" t="s">
        <v>490</v>
      </c>
      <c r="M55" s="7" t="s">
        <v>480</v>
      </c>
      <c r="N55" s="7" t="s">
        <v>496</v>
      </c>
      <c r="O55" s="7" t="s">
        <v>480</v>
      </c>
      <c r="R55" s="7" t="s">
        <v>497</v>
      </c>
      <c r="T55" s="7" t="s">
        <v>486</v>
      </c>
    </row>
    <row r="56" spans="1:20" x14ac:dyDescent="0.5">
      <c r="A56" s="7">
        <v>55</v>
      </c>
      <c r="B56" s="7" t="s">
        <v>23</v>
      </c>
      <c r="C56" s="7" t="s">
        <v>158</v>
      </c>
      <c r="D56" s="7" t="s">
        <v>437</v>
      </c>
      <c r="E56" s="8">
        <v>24898</v>
      </c>
      <c r="F56" s="7">
        <v>1680300331</v>
      </c>
      <c r="G56" s="15" t="s">
        <v>498</v>
      </c>
      <c r="H56" s="9">
        <v>10000166384717</v>
      </c>
      <c r="I56" s="7" t="s">
        <v>436</v>
      </c>
      <c r="J56" s="7" t="s">
        <v>499</v>
      </c>
      <c r="K56" s="7" t="s">
        <v>503</v>
      </c>
      <c r="L56" s="7" t="s">
        <v>500</v>
      </c>
      <c r="M56" s="7" t="s">
        <v>480</v>
      </c>
      <c r="N56" s="7" t="s">
        <v>501</v>
      </c>
      <c r="O56" s="7" t="s">
        <v>480</v>
      </c>
      <c r="R56" s="7" t="s">
        <v>502</v>
      </c>
      <c r="T56" s="7" t="s">
        <v>503</v>
      </c>
    </row>
    <row r="57" spans="1:20" x14ac:dyDescent="0.5">
      <c r="A57" s="7">
        <v>56</v>
      </c>
      <c r="B57" s="7" t="s">
        <v>504</v>
      </c>
      <c r="C57" s="7" t="s">
        <v>505</v>
      </c>
      <c r="D57" s="7" t="s">
        <v>437</v>
      </c>
      <c r="E57" s="8">
        <v>25544</v>
      </c>
      <c r="F57" s="7">
        <v>1690300355</v>
      </c>
      <c r="G57" s="15" t="s">
        <v>506</v>
      </c>
      <c r="H57" s="9">
        <v>10000166296414</v>
      </c>
      <c r="I57" s="7" t="s">
        <v>436</v>
      </c>
      <c r="J57" s="7" t="s">
        <v>499</v>
      </c>
      <c r="K57" s="7" t="s">
        <v>507</v>
      </c>
      <c r="L57" s="7" t="s">
        <v>500</v>
      </c>
      <c r="M57" s="7" t="s">
        <v>480</v>
      </c>
      <c r="N57" s="7" t="s">
        <v>501</v>
      </c>
      <c r="O57" s="7" t="s">
        <v>480</v>
      </c>
      <c r="R57" s="7" t="s">
        <v>502</v>
      </c>
      <c r="T57" s="7" t="s">
        <v>507</v>
      </c>
    </row>
    <row r="58" spans="1:20" x14ac:dyDescent="0.5">
      <c r="A58" s="7">
        <v>57</v>
      </c>
      <c r="B58" s="7" t="s">
        <v>508</v>
      </c>
      <c r="C58" s="7" t="s">
        <v>164</v>
      </c>
      <c r="D58" s="7" t="s">
        <v>472</v>
      </c>
      <c r="E58" s="8">
        <v>24754</v>
      </c>
      <c r="F58" s="7">
        <v>2670300101</v>
      </c>
      <c r="H58" s="9">
        <v>10000165430919</v>
      </c>
      <c r="I58" s="7" t="s">
        <v>436</v>
      </c>
      <c r="J58" s="7" t="s">
        <v>489</v>
      </c>
      <c r="K58" s="7" t="s">
        <v>509</v>
      </c>
      <c r="L58" s="7" t="s">
        <v>490</v>
      </c>
      <c r="M58" s="7" t="s">
        <v>480</v>
      </c>
      <c r="N58" s="7" t="s">
        <v>496</v>
      </c>
      <c r="O58" s="7" t="s">
        <v>480</v>
      </c>
      <c r="R58" s="7" t="s">
        <v>497</v>
      </c>
      <c r="T58" s="7" t="s">
        <v>509</v>
      </c>
    </row>
    <row r="59" spans="1:20" x14ac:dyDescent="0.5">
      <c r="A59" s="7">
        <v>58</v>
      </c>
      <c r="B59" s="7" t="s">
        <v>30</v>
      </c>
      <c r="C59" s="7" t="s">
        <v>165</v>
      </c>
      <c r="D59" s="7" t="s">
        <v>437</v>
      </c>
      <c r="E59" s="7" t="s">
        <v>510</v>
      </c>
      <c r="F59" s="7">
        <v>1820300233</v>
      </c>
      <c r="G59" s="15" t="s">
        <v>511</v>
      </c>
      <c r="H59" s="9">
        <v>10000166393414</v>
      </c>
      <c r="I59" s="7" t="s">
        <v>436</v>
      </c>
      <c r="J59" s="7" t="s">
        <v>448</v>
      </c>
      <c r="K59" s="7" t="s">
        <v>449</v>
      </c>
      <c r="L59" s="7" t="s">
        <v>449</v>
      </c>
      <c r="M59" s="7" t="s">
        <v>480</v>
      </c>
      <c r="N59" s="7" t="s">
        <v>449</v>
      </c>
      <c r="O59" s="7" t="s">
        <v>444</v>
      </c>
      <c r="R59" s="7" t="s">
        <v>445</v>
      </c>
      <c r="T59" s="7" t="s">
        <v>449</v>
      </c>
    </row>
    <row r="60" spans="1:20" x14ac:dyDescent="0.5">
      <c r="A60" s="7">
        <v>59</v>
      </c>
      <c r="B60" s="7" t="s">
        <v>32</v>
      </c>
      <c r="C60" s="7" t="s">
        <v>167</v>
      </c>
      <c r="D60" s="7" t="s">
        <v>472</v>
      </c>
      <c r="E60" s="7" t="s">
        <v>512</v>
      </c>
      <c r="F60" s="7">
        <v>2870300243</v>
      </c>
      <c r="G60" s="15" t="s">
        <v>513</v>
      </c>
      <c r="H60" s="9">
        <v>10000130090111</v>
      </c>
      <c r="I60" s="7" t="s">
        <v>436</v>
      </c>
      <c r="J60" s="7" t="s">
        <v>514</v>
      </c>
      <c r="K60" s="7" t="s">
        <v>449</v>
      </c>
      <c r="L60" s="7" t="s">
        <v>449</v>
      </c>
      <c r="M60" s="7" t="s">
        <v>442</v>
      </c>
      <c r="N60" s="7" t="s">
        <v>515</v>
      </c>
      <c r="O60" s="7" t="s">
        <v>444</v>
      </c>
      <c r="R60" s="7" t="s">
        <v>516</v>
      </c>
      <c r="T60" s="7" t="s">
        <v>449</v>
      </c>
    </row>
    <row r="61" spans="1:20" x14ac:dyDescent="0.5">
      <c r="A61" s="7">
        <v>60</v>
      </c>
      <c r="B61" s="7" t="s">
        <v>31</v>
      </c>
      <c r="C61" s="7" t="s">
        <v>166</v>
      </c>
      <c r="D61" s="7" t="s">
        <v>437</v>
      </c>
      <c r="E61" s="8">
        <v>32690</v>
      </c>
      <c r="F61" s="7">
        <v>1890700240</v>
      </c>
      <c r="G61" s="15" t="s">
        <v>517</v>
      </c>
      <c r="H61" s="9">
        <v>14000104842612</v>
      </c>
      <c r="I61" s="7" t="s">
        <v>436</v>
      </c>
      <c r="J61" s="7" t="s">
        <v>518</v>
      </c>
      <c r="K61" s="7" t="s">
        <v>449</v>
      </c>
      <c r="L61" s="7" t="s">
        <v>449</v>
      </c>
      <c r="M61" s="7" t="s">
        <v>444</v>
      </c>
      <c r="N61" s="7" t="s">
        <v>449</v>
      </c>
      <c r="O61" s="7" t="s">
        <v>444</v>
      </c>
      <c r="R61" s="7" t="s">
        <v>519</v>
      </c>
      <c r="T61" s="7" t="s">
        <v>449</v>
      </c>
    </row>
    <row r="62" spans="1:20" x14ac:dyDescent="0.5">
      <c r="A62" s="7">
        <v>61</v>
      </c>
      <c r="B62" s="7" t="s">
        <v>33</v>
      </c>
      <c r="C62" s="7" t="s">
        <v>168</v>
      </c>
      <c r="D62" s="7" t="s">
        <v>437</v>
      </c>
      <c r="E62" s="7" t="s">
        <v>520</v>
      </c>
      <c r="F62" s="7">
        <v>1830300209</v>
      </c>
      <c r="G62" s="15" t="s">
        <v>521</v>
      </c>
      <c r="H62" s="9">
        <v>10000099720919</v>
      </c>
      <c r="I62" s="7" t="s">
        <v>436</v>
      </c>
      <c r="J62" s="7" t="s">
        <v>459</v>
      </c>
      <c r="K62" s="7" t="s">
        <v>469</v>
      </c>
      <c r="L62" s="7" t="s">
        <v>469</v>
      </c>
      <c r="M62" s="7" t="s">
        <v>442</v>
      </c>
      <c r="N62" s="7" t="s">
        <v>522</v>
      </c>
      <c r="O62" s="7" t="s">
        <v>444</v>
      </c>
      <c r="R62" s="7" t="s">
        <v>523</v>
      </c>
      <c r="T62" s="7" t="s">
        <v>469</v>
      </c>
    </row>
    <row r="63" spans="1:20" x14ac:dyDescent="0.5">
      <c r="A63" s="7">
        <v>62</v>
      </c>
      <c r="B63" s="7" t="s">
        <v>34</v>
      </c>
      <c r="C63" s="7" t="s">
        <v>169</v>
      </c>
      <c r="D63" s="7" t="s">
        <v>472</v>
      </c>
      <c r="E63" s="7" t="s">
        <v>524</v>
      </c>
      <c r="F63" s="7">
        <v>2930300439</v>
      </c>
      <c r="G63" s="15" t="s">
        <v>525</v>
      </c>
      <c r="H63" s="9">
        <v>10000360049918</v>
      </c>
      <c r="I63" s="7" t="s">
        <v>436</v>
      </c>
      <c r="J63" s="7" t="s">
        <v>526</v>
      </c>
      <c r="K63" s="7" t="s">
        <v>469</v>
      </c>
      <c r="L63" s="7" t="s">
        <v>469</v>
      </c>
      <c r="M63" s="7" t="s">
        <v>442</v>
      </c>
      <c r="N63" s="7" t="s">
        <v>469</v>
      </c>
      <c r="O63" s="7" t="s">
        <v>442</v>
      </c>
      <c r="R63" s="7" t="s">
        <v>445</v>
      </c>
      <c r="T63" s="7" t="s">
        <v>469</v>
      </c>
    </row>
    <row r="64" spans="1:20" x14ac:dyDescent="0.5">
      <c r="A64" s="7">
        <v>63</v>
      </c>
      <c r="B64" s="7" t="s">
        <v>35</v>
      </c>
      <c r="C64" s="7" t="s">
        <v>170</v>
      </c>
      <c r="D64" s="7" t="s">
        <v>472</v>
      </c>
      <c r="E64" s="7" t="s">
        <v>527</v>
      </c>
      <c r="F64" s="7">
        <v>2870300253</v>
      </c>
      <c r="G64" s="15" t="s">
        <v>528</v>
      </c>
      <c r="H64" s="9">
        <v>10000166291111</v>
      </c>
      <c r="I64" s="7" t="s">
        <v>436</v>
      </c>
      <c r="J64" s="7" t="s">
        <v>529</v>
      </c>
      <c r="K64" s="7" t="s">
        <v>530</v>
      </c>
      <c r="L64" s="7" t="s">
        <v>530</v>
      </c>
      <c r="M64" s="7" t="s">
        <v>442</v>
      </c>
      <c r="N64" s="7" t="s">
        <v>530</v>
      </c>
      <c r="O64" s="7" t="s">
        <v>442</v>
      </c>
      <c r="R64" s="7" t="s">
        <v>445</v>
      </c>
      <c r="T64" s="7" t="s">
        <v>530</v>
      </c>
    </row>
    <row r="65" spans="1:20" x14ac:dyDescent="0.5">
      <c r="A65" s="7">
        <v>64</v>
      </c>
      <c r="B65" s="7" t="s">
        <v>38</v>
      </c>
      <c r="C65" s="7" t="s">
        <v>173</v>
      </c>
      <c r="D65" s="7" t="s">
        <v>437</v>
      </c>
      <c r="E65" s="8">
        <v>31017</v>
      </c>
      <c r="F65" s="7">
        <v>1840300188</v>
      </c>
      <c r="G65" s="15" t="s">
        <v>531</v>
      </c>
      <c r="H65" s="9">
        <v>10000032372818</v>
      </c>
      <c r="I65" s="7" t="s">
        <v>436</v>
      </c>
      <c r="J65" s="7" t="s">
        <v>448</v>
      </c>
      <c r="K65" s="7" t="s">
        <v>532</v>
      </c>
      <c r="L65" s="7" t="s">
        <v>532</v>
      </c>
      <c r="M65" s="7" t="s">
        <v>442</v>
      </c>
      <c r="N65" s="7" t="s">
        <v>532</v>
      </c>
      <c r="O65" s="7" t="s">
        <v>444</v>
      </c>
      <c r="R65" s="7" t="s">
        <v>445</v>
      </c>
      <c r="T65" s="7" t="s">
        <v>532</v>
      </c>
    </row>
    <row r="66" spans="1:20" x14ac:dyDescent="0.5">
      <c r="A66" s="7">
        <v>65</v>
      </c>
      <c r="B66" s="7" t="s">
        <v>39</v>
      </c>
      <c r="C66" s="7" t="s">
        <v>174</v>
      </c>
      <c r="D66" s="7" t="s">
        <v>472</v>
      </c>
      <c r="E66" s="8">
        <v>29684</v>
      </c>
      <c r="F66" s="7">
        <v>2810300213</v>
      </c>
      <c r="G66" s="15" t="s">
        <v>533</v>
      </c>
      <c r="H66" s="9">
        <v>10000031150313</v>
      </c>
      <c r="I66" s="7" t="s">
        <v>436</v>
      </c>
      <c r="J66" s="7" t="s">
        <v>448</v>
      </c>
      <c r="K66" s="7" t="s">
        <v>534</v>
      </c>
      <c r="L66" s="7" t="s">
        <v>532</v>
      </c>
      <c r="M66" s="7" t="s">
        <v>442</v>
      </c>
      <c r="N66" s="7" t="s">
        <v>532</v>
      </c>
      <c r="O66" s="7" t="s">
        <v>444</v>
      </c>
      <c r="R66" s="7" t="s">
        <v>445</v>
      </c>
      <c r="T66" s="7" t="s">
        <v>534</v>
      </c>
    </row>
    <row r="67" spans="1:20" x14ac:dyDescent="0.5">
      <c r="A67" s="7">
        <v>66</v>
      </c>
      <c r="B67" s="7" t="s">
        <v>40</v>
      </c>
      <c r="C67" s="7" t="s">
        <v>175</v>
      </c>
      <c r="D67" s="7" t="s">
        <v>472</v>
      </c>
      <c r="E67" s="8">
        <v>32417</v>
      </c>
      <c r="F67" s="7">
        <v>2880300262</v>
      </c>
      <c r="G67" s="15" t="s">
        <v>535</v>
      </c>
      <c r="H67" s="9">
        <v>10000140194424</v>
      </c>
      <c r="I67" s="7" t="s">
        <v>436</v>
      </c>
      <c r="J67" s="7" t="s">
        <v>514</v>
      </c>
      <c r="K67" s="7" t="s">
        <v>536</v>
      </c>
      <c r="L67" s="7" t="s">
        <v>536</v>
      </c>
      <c r="M67" s="7" t="s">
        <v>442</v>
      </c>
      <c r="N67" s="7" t="s">
        <v>536</v>
      </c>
      <c r="O67" s="7" t="s">
        <v>444</v>
      </c>
      <c r="R67" s="7" t="s">
        <v>516</v>
      </c>
      <c r="T67" s="7" t="s">
        <v>536</v>
      </c>
    </row>
    <row r="68" spans="1:20" x14ac:dyDescent="0.5">
      <c r="A68" s="7">
        <v>67</v>
      </c>
      <c r="B68" s="7" t="s">
        <v>43</v>
      </c>
      <c r="C68" s="7" t="s">
        <v>178</v>
      </c>
      <c r="D68" s="7" t="s">
        <v>437</v>
      </c>
      <c r="E68" s="8">
        <v>29253</v>
      </c>
      <c r="F68" s="7">
        <v>1800300408</v>
      </c>
      <c r="G68" s="15" t="s">
        <v>537</v>
      </c>
      <c r="H68" s="9">
        <v>10000038375010</v>
      </c>
      <c r="I68" s="7" t="s">
        <v>436</v>
      </c>
      <c r="J68" s="7" t="s">
        <v>448</v>
      </c>
      <c r="K68" s="7" t="s">
        <v>543</v>
      </c>
      <c r="L68" s="7" t="s">
        <v>538</v>
      </c>
      <c r="M68" s="7" t="s">
        <v>539</v>
      </c>
      <c r="N68" s="7" t="s">
        <v>540</v>
      </c>
      <c r="O68" s="7" t="s">
        <v>541</v>
      </c>
      <c r="R68" s="7" t="s">
        <v>542</v>
      </c>
      <c r="T68" s="7" t="s">
        <v>543</v>
      </c>
    </row>
    <row r="69" spans="1:20" x14ac:dyDescent="0.5">
      <c r="A69" s="7">
        <v>68</v>
      </c>
      <c r="B69" s="7" t="s">
        <v>44</v>
      </c>
      <c r="C69" s="7" t="s">
        <v>179</v>
      </c>
      <c r="D69" s="7" t="s">
        <v>437</v>
      </c>
      <c r="E69" s="8">
        <v>30503</v>
      </c>
      <c r="F69" s="7">
        <v>1830300210</v>
      </c>
      <c r="G69" s="15" t="s">
        <v>544</v>
      </c>
      <c r="H69" s="9">
        <v>10000033478414</v>
      </c>
      <c r="I69" s="7" t="s">
        <v>436</v>
      </c>
      <c r="J69" s="7" t="s">
        <v>545</v>
      </c>
      <c r="K69" s="7" t="s">
        <v>548</v>
      </c>
      <c r="L69" s="7" t="s">
        <v>546</v>
      </c>
      <c r="M69" s="7" t="s">
        <v>442</v>
      </c>
      <c r="N69" s="7" t="s">
        <v>547</v>
      </c>
      <c r="O69" s="7" t="s">
        <v>444</v>
      </c>
      <c r="T69" s="7" t="s">
        <v>548</v>
      </c>
    </row>
    <row r="70" spans="1:20" x14ac:dyDescent="0.5">
      <c r="A70" s="7">
        <v>69</v>
      </c>
      <c r="B70" s="7" t="s">
        <v>45</v>
      </c>
      <c r="C70" s="7" t="s">
        <v>180</v>
      </c>
      <c r="D70" s="7" t="s">
        <v>437</v>
      </c>
      <c r="E70" s="7" t="s">
        <v>549</v>
      </c>
      <c r="F70" s="7">
        <v>1870300227</v>
      </c>
      <c r="G70" s="15" t="s">
        <v>550</v>
      </c>
      <c r="H70" s="9">
        <v>10000031000515</v>
      </c>
      <c r="I70" s="7" t="s">
        <v>436</v>
      </c>
      <c r="J70" s="7" t="s">
        <v>551</v>
      </c>
      <c r="K70" s="7" t="s">
        <v>548</v>
      </c>
      <c r="L70" s="7" t="s">
        <v>548</v>
      </c>
      <c r="M70" s="7" t="s">
        <v>442</v>
      </c>
      <c r="N70" s="7" t="s">
        <v>552</v>
      </c>
      <c r="O70" s="7" t="s">
        <v>444</v>
      </c>
      <c r="R70" s="7" t="s">
        <v>553</v>
      </c>
      <c r="T70" s="7" t="s">
        <v>548</v>
      </c>
    </row>
    <row r="71" spans="1:20" x14ac:dyDescent="0.5">
      <c r="A71" s="7">
        <v>70</v>
      </c>
      <c r="B71" s="7" t="s">
        <v>46</v>
      </c>
      <c r="C71" s="7" t="s">
        <v>181</v>
      </c>
      <c r="D71" s="7" t="s">
        <v>437</v>
      </c>
      <c r="E71" s="7" t="s">
        <v>554</v>
      </c>
      <c r="F71" s="7">
        <v>1730300800</v>
      </c>
      <c r="G71" s="15" t="s">
        <v>555</v>
      </c>
      <c r="H71" s="9">
        <v>10000113864424</v>
      </c>
      <c r="I71" s="7" t="s">
        <v>436</v>
      </c>
      <c r="J71" s="7" t="s">
        <v>465</v>
      </c>
      <c r="K71" s="7" t="s">
        <v>485</v>
      </c>
      <c r="L71" s="7" t="s">
        <v>454</v>
      </c>
      <c r="M71" s="7" t="s">
        <v>442</v>
      </c>
      <c r="N71" s="7" t="s">
        <v>485</v>
      </c>
      <c r="O71" s="7" t="s">
        <v>444</v>
      </c>
      <c r="R71" s="7" t="s">
        <v>445</v>
      </c>
      <c r="T71" s="7" t="s">
        <v>485</v>
      </c>
    </row>
    <row r="72" spans="1:20" x14ac:dyDescent="0.5">
      <c r="A72" s="7">
        <v>71</v>
      </c>
      <c r="B72" s="7" t="s">
        <v>556</v>
      </c>
      <c r="C72" s="7" t="s">
        <v>182</v>
      </c>
      <c r="D72" s="7" t="s">
        <v>472</v>
      </c>
      <c r="E72" s="7" t="s">
        <v>557</v>
      </c>
      <c r="F72" s="7">
        <v>2890300162</v>
      </c>
      <c r="G72" s="15" t="s">
        <v>558</v>
      </c>
      <c r="H72" s="9">
        <v>10000166309515</v>
      </c>
      <c r="I72" s="7" t="s">
        <v>436</v>
      </c>
      <c r="J72" s="7" t="s">
        <v>559</v>
      </c>
      <c r="K72" s="7" t="s">
        <v>485</v>
      </c>
      <c r="L72" s="7" t="s">
        <v>454</v>
      </c>
      <c r="M72" s="7" t="s">
        <v>442</v>
      </c>
      <c r="N72" s="7" t="s">
        <v>560</v>
      </c>
      <c r="O72" s="7" t="s">
        <v>444</v>
      </c>
      <c r="R72" s="7" t="s">
        <v>445</v>
      </c>
      <c r="T72" s="7" t="s">
        <v>485</v>
      </c>
    </row>
    <row r="73" spans="1:20" x14ac:dyDescent="0.5">
      <c r="A73" s="7">
        <v>72</v>
      </c>
      <c r="B73" s="7" t="s">
        <v>48</v>
      </c>
      <c r="C73" s="7" t="s">
        <v>183</v>
      </c>
      <c r="D73" s="7" t="s">
        <v>472</v>
      </c>
      <c r="E73" s="8">
        <v>29952</v>
      </c>
      <c r="F73" s="7">
        <v>2820800126</v>
      </c>
      <c r="G73" s="15" t="s">
        <v>561</v>
      </c>
      <c r="H73" s="9">
        <v>10000294981516</v>
      </c>
      <c r="I73" s="7" t="s">
        <v>436</v>
      </c>
      <c r="J73" s="7" t="s">
        <v>514</v>
      </c>
      <c r="K73" s="7" t="s">
        <v>562</v>
      </c>
      <c r="L73" s="7" t="s">
        <v>454</v>
      </c>
      <c r="M73" s="7" t="s">
        <v>444</v>
      </c>
      <c r="N73" s="7" t="s">
        <v>560</v>
      </c>
      <c r="O73" s="7" t="s">
        <v>444</v>
      </c>
      <c r="R73" s="7" t="s">
        <v>445</v>
      </c>
      <c r="T73" s="7" t="s">
        <v>562</v>
      </c>
    </row>
    <row r="74" spans="1:20" x14ac:dyDescent="0.5">
      <c r="A74" s="7">
        <v>73</v>
      </c>
      <c r="B74" s="7" t="s">
        <v>49</v>
      </c>
      <c r="C74" s="7" t="s">
        <v>184</v>
      </c>
      <c r="D74" s="7" t="s">
        <v>437</v>
      </c>
      <c r="E74" s="8">
        <v>24900</v>
      </c>
      <c r="F74" s="7">
        <v>1680300330</v>
      </c>
      <c r="G74" s="15" t="s">
        <v>563</v>
      </c>
      <c r="H74" s="9">
        <v>10000067209414</v>
      </c>
      <c r="I74" s="7" t="s">
        <v>436</v>
      </c>
      <c r="J74" s="7" t="s">
        <v>564</v>
      </c>
      <c r="K74" s="7" t="s">
        <v>566</v>
      </c>
      <c r="L74" s="7" t="s">
        <v>441</v>
      </c>
      <c r="M74" s="7" t="s">
        <v>442</v>
      </c>
      <c r="N74" s="7" t="s">
        <v>565</v>
      </c>
      <c r="O74" s="7" t="s">
        <v>444</v>
      </c>
      <c r="R74" s="7" t="s">
        <v>450</v>
      </c>
      <c r="T74" s="7" t="s">
        <v>566</v>
      </c>
    </row>
    <row r="75" spans="1:20" x14ac:dyDescent="0.5">
      <c r="A75" s="7">
        <v>74</v>
      </c>
      <c r="B75" s="7" t="s">
        <v>50</v>
      </c>
      <c r="C75" s="7" t="s">
        <v>185</v>
      </c>
      <c r="D75" s="7" t="s">
        <v>472</v>
      </c>
      <c r="E75" s="8">
        <v>33886</v>
      </c>
      <c r="F75" s="7">
        <v>2920300428</v>
      </c>
      <c r="G75" s="15" t="s">
        <v>799</v>
      </c>
      <c r="H75" s="9">
        <v>10000360055910</v>
      </c>
      <c r="I75" s="7" t="s">
        <v>436</v>
      </c>
      <c r="J75" s="7" t="s">
        <v>526</v>
      </c>
      <c r="K75" s="7" t="s">
        <v>566</v>
      </c>
      <c r="L75" s="7" t="s">
        <v>441</v>
      </c>
      <c r="M75" s="7" t="s">
        <v>442</v>
      </c>
      <c r="N75" s="7" t="s">
        <v>567</v>
      </c>
      <c r="O75" s="7" t="s">
        <v>442</v>
      </c>
      <c r="R75" s="7" t="s">
        <v>445</v>
      </c>
      <c r="T75" s="7" t="s">
        <v>566</v>
      </c>
    </row>
    <row r="76" spans="1:20" x14ac:dyDescent="0.5">
      <c r="A76" s="7">
        <v>75</v>
      </c>
      <c r="B76" s="7" t="s">
        <v>51</v>
      </c>
      <c r="C76" s="7" t="s">
        <v>186</v>
      </c>
      <c r="D76" s="7" t="s">
        <v>472</v>
      </c>
      <c r="E76" s="8">
        <v>32113</v>
      </c>
      <c r="F76" s="7">
        <v>2870600141</v>
      </c>
      <c r="G76" s="15" t="s">
        <v>568</v>
      </c>
      <c r="H76" s="9">
        <v>10000165482919</v>
      </c>
      <c r="I76" s="7" t="s">
        <v>436</v>
      </c>
      <c r="J76" s="7" t="s">
        <v>514</v>
      </c>
      <c r="K76" s="7" t="s">
        <v>570</v>
      </c>
      <c r="L76" s="7" t="s">
        <v>460</v>
      </c>
      <c r="M76" s="7" t="s">
        <v>442</v>
      </c>
      <c r="N76" s="7" t="s">
        <v>569</v>
      </c>
      <c r="O76" s="7" t="s">
        <v>444</v>
      </c>
      <c r="R76" s="7" t="s">
        <v>516</v>
      </c>
      <c r="T76" s="7" t="s">
        <v>570</v>
      </c>
    </row>
    <row r="77" spans="1:20" x14ac:dyDescent="0.5">
      <c r="A77" s="7">
        <v>76</v>
      </c>
      <c r="B77" s="7" t="s">
        <v>55</v>
      </c>
      <c r="C77" s="7" t="s">
        <v>190</v>
      </c>
      <c r="D77" s="7" t="s">
        <v>437</v>
      </c>
      <c r="E77" s="8">
        <v>24663</v>
      </c>
      <c r="F77" s="7">
        <v>1670300249</v>
      </c>
      <c r="G77" s="15" t="s">
        <v>571</v>
      </c>
      <c r="H77" s="9">
        <v>10000017463919</v>
      </c>
      <c r="I77" s="7" t="s">
        <v>436</v>
      </c>
      <c r="J77" s="7" t="s">
        <v>465</v>
      </c>
      <c r="K77" s="7" t="s">
        <v>573</v>
      </c>
      <c r="L77" s="7" t="s">
        <v>479</v>
      </c>
      <c r="M77" s="7" t="s">
        <v>442</v>
      </c>
      <c r="N77" s="7" t="s">
        <v>461</v>
      </c>
      <c r="O77" s="7" t="s">
        <v>444</v>
      </c>
      <c r="R77" s="7" t="s">
        <v>572</v>
      </c>
      <c r="T77" s="7" t="s">
        <v>573</v>
      </c>
    </row>
    <row r="78" spans="1:20" x14ac:dyDescent="0.5">
      <c r="A78" s="7">
        <v>77</v>
      </c>
      <c r="B78" s="7" t="s">
        <v>56</v>
      </c>
      <c r="C78" s="7" t="s">
        <v>191</v>
      </c>
      <c r="D78" s="7" t="s">
        <v>472</v>
      </c>
      <c r="E78" s="8">
        <v>27677</v>
      </c>
      <c r="F78" s="7">
        <v>2750300112</v>
      </c>
      <c r="G78" s="15" t="s">
        <v>574</v>
      </c>
      <c r="H78" s="9">
        <v>10000057371919</v>
      </c>
      <c r="I78" s="7" t="s">
        <v>436</v>
      </c>
      <c r="J78" s="7" t="s">
        <v>575</v>
      </c>
      <c r="K78" s="7" t="s">
        <v>573</v>
      </c>
      <c r="L78" s="7" t="s">
        <v>479</v>
      </c>
      <c r="M78" s="7" t="s">
        <v>442</v>
      </c>
      <c r="N78" s="7" t="s">
        <v>576</v>
      </c>
      <c r="O78" s="7" t="s">
        <v>444</v>
      </c>
      <c r="R78" s="7" t="s">
        <v>577</v>
      </c>
      <c r="T78" s="7" t="s">
        <v>573</v>
      </c>
    </row>
    <row r="79" spans="1:20" x14ac:dyDescent="0.5">
      <c r="A79" s="7">
        <v>78</v>
      </c>
      <c r="B79" s="7" t="s">
        <v>58</v>
      </c>
      <c r="C79" s="7" t="s">
        <v>193</v>
      </c>
      <c r="D79" s="7" t="s">
        <v>437</v>
      </c>
      <c r="E79" s="7" t="s">
        <v>578</v>
      </c>
      <c r="F79" s="7">
        <v>1840300118</v>
      </c>
      <c r="G79" s="15" t="s">
        <v>579</v>
      </c>
      <c r="H79" s="9">
        <v>10000165486818</v>
      </c>
      <c r="I79" s="7" t="s">
        <v>436</v>
      </c>
      <c r="J79" s="7" t="s">
        <v>545</v>
      </c>
      <c r="K79" s="7" t="s">
        <v>580</v>
      </c>
      <c r="L79" s="7" t="s">
        <v>479</v>
      </c>
      <c r="M79" s="7" t="s">
        <v>442</v>
      </c>
      <c r="N79" s="7" t="s">
        <v>565</v>
      </c>
      <c r="O79" s="7" t="s">
        <v>444</v>
      </c>
      <c r="R79" s="7" t="s">
        <v>502</v>
      </c>
      <c r="T79" s="7" t="s">
        <v>580</v>
      </c>
    </row>
    <row r="80" spans="1:20" x14ac:dyDescent="0.5">
      <c r="A80" s="7">
        <v>79</v>
      </c>
      <c r="B80" s="7" t="s">
        <v>57</v>
      </c>
      <c r="C80" s="7" t="s">
        <v>192</v>
      </c>
      <c r="D80" s="7" t="s">
        <v>472</v>
      </c>
      <c r="E80" s="8">
        <v>29282</v>
      </c>
      <c r="F80" s="7">
        <v>2800300262</v>
      </c>
      <c r="G80" s="15" t="s">
        <v>581</v>
      </c>
      <c r="H80" s="9">
        <v>10000018693010</v>
      </c>
      <c r="I80" s="7" t="s">
        <v>436</v>
      </c>
      <c r="J80" s="7" t="s">
        <v>582</v>
      </c>
      <c r="K80" s="7" t="s">
        <v>573</v>
      </c>
      <c r="L80" s="7" t="s">
        <v>479</v>
      </c>
      <c r="M80" s="7" t="s">
        <v>442</v>
      </c>
      <c r="N80" s="7" t="s">
        <v>583</v>
      </c>
      <c r="O80" s="7" t="s">
        <v>444</v>
      </c>
      <c r="R80" s="7" t="s">
        <v>445</v>
      </c>
      <c r="T80" s="7" t="s">
        <v>573</v>
      </c>
    </row>
    <row r="81" spans="1:20" x14ac:dyDescent="0.5">
      <c r="A81" s="7">
        <v>80</v>
      </c>
      <c r="B81" s="7" t="s">
        <v>59</v>
      </c>
      <c r="C81" s="7" t="s">
        <v>194</v>
      </c>
      <c r="D81" s="7" t="s">
        <v>437</v>
      </c>
      <c r="E81" s="7" t="s">
        <v>584</v>
      </c>
      <c r="F81" s="7">
        <v>1840600176</v>
      </c>
      <c r="G81" s="15" t="s">
        <v>585</v>
      </c>
      <c r="H81" s="9">
        <v>10000063170111</v>
      </c>
      <c r="I81" s="7" t="s">
        <v>436</v>
      </c>
      <c r="J81" s="7" t="s">
        <v>518</v>
      </c>
      <c r="K81" s="7" t="s">
        <v>573</v>
      </c>
      <c r="L81" s="7" t="s">
        <v>479</v>
      </c>
      <c r="M81" s="7" t="s">
        <v>442</v>
      </c>
      <c r="N81" s="7" t="s">
        <v>586</v>
      </c>
      <c r="O81" s="7" t="s">
        <v>444</v>
      </c>
      <c r="R81" s="7" t="s">
        <v>450</v>
      </c>
      <c r="T81" s="7" t="s">
        <v>573</v>
      </c>
    </row>
    <row r="82" spans="1:20" x14ac:dyDescent="0.5">
      <c r="A82" s="7">
        <v>81</v>
      </c>
      <c r="B82" s="7" t="s">
        <v>60</v>
      </c>
      <c r="C82" s="7" t="s">
        <v>195</v>
      </c>
      <c r="D82" s="7" t="s">
        <v>437</v>
      </c>
      <c r="E82" s="8">
        <v>30233</v>
      </c>
      <c r="F82" s="7">
        <v>1820300058</v>
      </c>
      <c r="G82" s="15" t="s">
        <v>587</v>
      </c>
      <c r="H82" s="9">
        <v>10000063829010</v>
      </c>
      <c r="I82" s="7" t="s">
        <v>436</v>
      </c>
      <c r="J82" s="7" t="s">
        <v>518</v>
      </c>
      <c r="K82" s="7" t="s">
        <v>573</v>
      </c>
      <c r="L82" s="7" t="s">
        <v>479</v>
      </c>
      <c r="M82" s="7" t="s">
        <v>442</v>
      </c>
      <c r="N82" s="7" t="s">
        <v>479</v>
      </c>
      <c r="O82" s="7" t="s">
        <v>444</v>
      </c>
      <c r="R82" s="7" t="s">
        <v>445</v>
      </c>
      <c r="T82" s="7" t="s">
        <v>573</v>
      </c>
    </row>
    <row r="83" spans="1:20" x14ac:dyDescent="0.5">
      <c r="A83" s="7">
        <v>82</v>
      </c>
      <c r="B83" s="7" t="s">
        <v>61</v>
      </c>
      <c r="C83" s="7" t="s">
        <v>196</v>
      </c>
      <c r="D83" s="7" t="s">
        <v>437</v>
      </c>
      <c r="E83" s="8">
        <v>25996</v>
      </c>
      <c r="F83" s="7">
        <v>1710300321</v>
      </c>
      <c r="G83" s="15" t="s">
        <v>588</v>
      </c>
      <c r="H83" s="9">
        <v>10000059384626</v>
      </c>
      <c r="I83" s="7" t="s">
        <v>436</v>
      </c>
      <c r="J83" s="7" t="s">
        <v>589</v>
      </c>
      <c r="K83" s="7" t="s">
        <v>573</v>
      </c>
      <c r="L83" s="7" t="s">
        <v>469</v>
      </c>
      <c r="M83" s="7" t="s">
        <v>480</v>
      </c>
      <c r="N83" s="7" t="s">
        <v>565</v>
      </c>
      <c r="O83" s="7" t="s">
        <v>444</v>
      </c>
      <c r="R83" s="7" t="s">
        <v>445</v>
      </c>
      <c r="T83" s="7" t="s">
        <v>573</v>
      </c>
    </row>
    <row r="84" spans="1:20" x14ac:dyDescent="0.5">
      <c r="A84" s="7">
        <v>83</v>
      </c>
      <c r="B84" s="7" t="s">
        <v>62</v>
      </c>
      <c r="C84" s="7" t="s">
        <v>197</v>
      </c>
      <c r="D84" s="7" t="s">
        <v>437</v>
      </c>
      <c r="E84" s="8">
        <v>30295</v>
      </c>
      <c r="F84" s="7">
        <v>1820300041</v>
      </c>
      <c r="G84" s="15" t="s">
        <v>590</v>
      </c>
      <c r="H84" s="9">
        <v>34470169073215</v>
      </c>
      <c r="I84" s="7" t="s">
        <v>436</v>
      </c>
      <c r="J84" s="7" t="s">
        <v>478</v>
      </c>
      <c r="K84" s="7" t="s">
        <v>573</v>
      </c>
      <c r="L84" s="7" t="s">
        <v>479</v>
      </c>
      <c r="M84" s="7" t="s">
        <v>480</v>
      </c>
      <c r="N84" s="7" t="s">
        <v>591</v>
      </c>
      <c r="O84" s="7" t="s">
        <v>444</v>
      </c>
      <c r="R84" s="7" t="s">
        <v>516</v>
      </c>
      <c r="T84" s="7" t="s">
        <v>573</v>
      </c>
    </row>
    <row r="85" spans="1:20" x14ac:dyDescent="0.5">
      <c r="A85" s="7">
        <v>84</v>
      </c>
      <c r="B85" s="7" t="s">
        <v>63</v>
      </c>
      <c r="C85" s="7" t="s">
        <v>198</v>
      </c>
      <c r="D85" s="7" t="s">
        <v>472</v>
      </c>
      <c r="E85" s="7" t="s">
        <v>592</v>
      </c>
      <c r="F85" s="7">
        <v>2820300165</v>
      </c>
      <c r="G85" s="15" t="s">
        <v>593</v>
      </c>
      <c r="H85" s="9">
        <v>10000166543616</v>
      </c>
      <c r="I85" s="7" t="s">
        <v>436</v>
      </c>
      <c r="J85" s="7" t="s">
        <v>594</v>
      </c>
      <c r="K85" s="7" t="s">
        <v>573</v>
      </c>
      <c r="L85" s="7" t="s">
        <v>479</v>
      </c>
      <c r="M85" s="7" t="s">
        <v>480</v>
      </c>
      <c r="N85" s="7" t="s">
        <v>595</v>
      </c>
      <c r="O85" s="7" t="s">
        <v>444</v>
      </c>
      <c r="R85" s="7" t="s">
        <v>596</v>
      </c>
      <c r="T85" s="7" t="s">
        <v>573</v>
      </c>
    </row>
    <row r="86" spans="1:20" x14ac:dyDescent="0.5">
      <c r="A86" s="7">
        <v>85</v>
      </c>
      <c r="B86" s="7" t="s">
        <v>65</v>
      </c>
      <c r="C86" s="7" t="s">
        <v>200</v>
      </c>
      <c r="D86" s="7" t="s">
        <v>437</v>
      </c>
      <c r="E86" s="8">
        <v>31962</v>
      </c>
      <c r="F86" s="7">
        <v>1872100269</v>
      </c>
      <c r="G86" s="15" t="s">
        <v>800</v>
      </c>
      <c r="H86" s="9">
        <v>10000110523535</v>
      </c>
      <c r="I86" s="7" t="s">
        <v>436</v>
      </c>
      <c r="J86" s="7" t="s">
        <v>518</v>
      </c>
      <c r="K86" s="7" t="s">
        <v>600</v>
      </c>
      <c r="L86" s="7" t="s">
        <v>597</v>
      </c>
      <c r="M86" s="7" t="s">
        <v>442</v>
      </c>
      <c r="N86" s="7" t="s">
        <v>598</v>
      </c>
      <c r="O86" s="7" t="s">
        <v>444</v>
      </c>
      <c r="R86" s="7" t="s">
        <v>599</v>
      </c>
      <c r="T86" s="7" t="s">
        <v>600</v>
      </c>
    </row>
    <row r="87" spans="1:20" x14ac:dyDescent="0.5">
      <c r="A87" s="7">
        <v>86</v>
      </c>
      <c r="B87" s="7" t="s">
        <v>66</v>
      </c>
      <c r="C87" s="7" t="s">
        <v>201</v>
      </c>
      <c r="D87" s="7" t="s">
        <v>437</v>
      </c>
      <c r="E87" s="7" t="s">
        <v>601</v>
      </c>
      <c r="F87" s="7">
        <v>1821000140</v>
      </c>
      <c r="G87" s="15" t="s">
        <v>602</v>
      </c>
      <c r="H87" s="9">
        <v>10000061908010</v>
      </c>
      <c r="I87" s="7" t="s">
        <v>436</v>
      </c>
      <c r="J87" s="7" t="s">
        <v>518</v>
      </c>
      <c r="K87" s="7" t="s">
        <v>606</v>
      </c>
      <c r="L87" s="7" t="s">
        <v>603</v>
      </c>
      <c r="M87" s="7" t="s">
        <v>442</v>
      </c>
      <c r="N87" s="7" t="s">
        <v>604</v>
      </c>
      <c r="O87" s="7" t="s">
        <v>444</v>
      </c>
      <c r="R87" s="7" t="s">
        <v>605</v>
      </c>
      <c r="T87" s="7" t="s">
        <v>606</v>
      </c>
    </row>
    <row r="88" spans="1:20" x14ac:dyDescent="0.5">
      <c r="A88" s="7">
        <v>87</v>
      </c>
      <c r="B88" s="7" t="s">
        <v>64</v>
      </c>
      <c r="C88" s="7" t="s">
        <v>199</v>
      </c>
      <c r="D88" s="7" t="s">
        <v>472</v>
      </c>
      <c r="E88" s="8">
        <v>25883</v>
      </c>
      <c r="F88" s="7">
        <v>2702100269</v>
      </c>
      <c r="G88" s="15" t="s">
        <v>607</v>
      </c>
      <c r="H88" s="9">
        <v>10000089161414</v>
      </c>
      <c r="I88" s="7" t="s">
        <v>436</v>
      </c>
      <c r="J88" s="7" t="s">
        <v>807</v>
      </c>
      <c r="K88" s="7" t="s">
        <v>600</v>
      </c>
      <c r="L88" s="7" t="s">
        <v>597</v>
      </c>
      <c r="M88" s="7" t="s">
        <v>442</v>
      </c>
      <c r="N88" s="7" t="s">
        <v>608</v>
      </c>
      <c r="O88" s="7" t="s">
        <v>444</v>
      </c>
      <c r="R88" s="7" t="s">
        <v>450</v>
      </c>
      <c r="T88" s="7" t="s">
        <v>600</v>
      </c>
    </row>
    <row r="89" spans="1:20" x14ac:dyDescent="0.5">
      <c r="A89" s="7">
        <v>88</v>
      </c>
      <c r="B89" s="7" t="s">
        <v>67</v>
      </c>
      <c r="C89" s="7" t="s">
        <v>202</v>
      </c>
      <c r="D89" s="7" t="s">
        <v>437</v>
      </c>
      <c r="E89" s="7" t="s">
        <v>609</v>
      </c>
      <c r="F89" s="7">
        <v>1860300387</v>
      </c>
      <c r="G89" s="15" t="s">
        <v>610</v>
      </c>
      <c r="H89" s="9">
        <v>10000194042229</v>
      </c>
      <c r="I89" s="7" t="s">
        <v>436</v>
      </c>
      <c r="J89" s="7" t="s">
        <v>551</v>
      </c>
      <c r="K89" s="7" t="s">
        <v>600</v>
      </c>
      <c r="L89" s="7" t="s">
        <v>597</v>
      </c>
      <c r="M89" s="7" t="s">
        <v>442</v>
      </c>
      <c r="N89" s="7" t="s">
        <v>611</v>
      </c>
      <c r="O89" s="7" t="s">
        <v>444</v>
      </c>
      <c r="R89" s="7" t="s">
        <v>612</v>
      </c>
      <c r="T89" s="7" t="s">
        <v>600</v>
      </c>
    </row>
    <row r="90" spans="1:20" x14ac:dyDescent="0.5">
      <c r="A90" s="7">
        <v>89</v>
      </c>
      <c r="B90" s="7" t="s">
        <v>68</v>
      </c>
      <c r="C90" s="7" t="s">
        <v>203</v>
      </c>
      <c r="D90" s="7" t="s">
        <v>472</v>
      </c>
      <c r="E90" s="8">
        <v>33301</v>
      </c>
      <c r="F90" s="7">
        <v>2910300320</v>
      </c>
      <c r="G90" s="15" t="s">
        <v>613</v>
      </c>
      <c r="H90" s="9">
        <v>10000250881410</v>
      </c>
      <c r="I90" s="7" t="s">
        <v>436</v>
      </c>
      <c r="J90" s="7" t="s">
        <v>614</v>
      </c>
      <c r="K90" s="7" t="s">
        <v>600</v>
      </c>
      <c r="L90" s="7" t="s">
        <v>597</v>
      </c>
      <c r="M90" s="7" t="s">
        <v>442</v>
      </c>
      <c r="N90" s="7" t="s">
        <v>615</v>
      </c>
      <c r="O90" s="7" t="s">
        <v>444</v>
      </c>
      <c r="R90" s="7" t="s">
        <v>516</v>
      </c>
      <c r="T90" s="7" t="s">
        <v>600</v>
      </c>
    </row>
    <row r="91" spans="1:20" x14ac:dyDescent="0.5">
      <c r="A91" s="7">
        <v>90</v>
      </c>
      <c r="B91" s="7" t="s">
        <v>69</v>
      </c>
      <c r="C91" s="7" t="s">
        <v>204</v>
      </c>
      <c r="D91" s="7" t="s">
        <v>437</v>
      </c>
      <c r="E91" s="8">
        <v>33787</v>
      </c>
      <c r="F91" s="7">
        <v>1920300331</v>
      </c>
      <c r="G91" s="15" t="s">
        <v>616</v>
      </c>
      <c r="H91" s="9">
        <v>10000134394318</v>
      </c>
      <c r="I91" s="7" t="s">
        <v>436</v>
      </c>
      <c r="J91" s="7" t="s">
        <v>526</v>
      </c>
      <c r="K91" s="7" t="s">
        <v>620</v>
      </c>
      <c r="L91" s="7" t="s">
        <v>617</v>
      </c>
      <c r="M91" s="7" t="s">
        <v>442</v>
      </c>
      <c r="N91" s="7" t="s">
        <v>618</v>
      </c>
      <c r="O91" s="7" t="s">
        <v>444</v>
      </c>
      <c r="R91" s="7" t="s">
        <v>619</v>
      </c>
      <c r="T91" s="7" t="s">
        <v>620</v>
      </c>
    </row>
    <row r="92" spans="1:20" x14ac:dyDescent="0.5">
      <c r="A92" s="7">
        <v>91</v>
      </c>
      <c r="B92" s="7" t="s">
        <v>73</v>
      </c>
      <c r="C92" s="7" t="s">
        <v>208</v>
      </c>
      <c r="D92" s="7" t="s">
        <v>472</v>
      </c>
      <c r="E92" s="7" t="s">
        <v>621</v>
      </c>
      <c r="F92" s="7">
        <v>2840300235</v>
      </c>
      <c r="G92" s="15" t="s">
        <v>622</v>
      </c>
      <c r="H92" s="9">
        <v>10000166365414</v>
      </c>
      <c r="I92" s="7" t="s">
        <v>436</v>
      </c>
      <c r="J92" s="7" t="s">
        <v>518</v>
      </c>
      <c r="K92" s="7" t="s">
        <v>460</v>
      </c>
      <c r="L92" s="7" t="s">
        <v>460</v>
      </c>
      <c r="M92" s="7" t="s">
        <v>442</v>
      </c>
      <c r="N92" s="7" t="s">
        <v>460</v>
      </c>
      <c r="O92" s="7" t="s">
        <v>442</v>
      </c>
      <c r="R92" s="7" t="s">
        <v>450</v>
      </c>
      <c r="T92" s="7" t="s">
        <v>460</v>
      </c>
    </row>
    <row r="93" spans="1:20" x14ac:dyDescent="0.5">
      <c r="A93" s="7">
        <v>92</v>
      </c>
      <c r="B93" s="7" t="s">
        <v>74</v>
      </c>
      <c r="C93" s="7" t="s">
        <v>209</v>
      </c>
      <c r="D93" s="7" t="s">
        <v>437</v>
      </c>
      <c r="E93" s="8">
        <v>24841</v>
      </c>
      <c r="F93" s="7">
        <v>1680300327</v>
      </c>
      <c r="G93" s="15" t="s">
        <v>623</v>
      </c>
      <c r="H93" s="9">
        <v>10000165439313</v>
      </c>
      <c r="I93" s="7" t="s">
        <v>436</v>
      </c>
      <c r="J93" s="7" t="s">
        <v>484</v>
      </c>
      <c r="K93" s="7" t="s">
        <v>626</v>
      </c>
      <c r="L93" s="7" t="s">
        <v>460</v>
      </c>
      <c r="M93" s="7" t="s">
        <v>480</v>
      </c>
      <c r="N93" s="7" t="s">
        <v>624</v>
      </c>
      <c r="O93" s="7" t="s">
        <v>480</v>
      </c>
      <c r="R93" s="7" t="s">
        <v>625</v>
      </c>
      <c r="T93" s="7" t="s">
        <v>626</v>
      </c>
    </row>
    <row r="94" spans="1:20" x14ac:dyDescent="0.5">
      <c r="A94" s="7">
        <v>93</v>
      </c>
      <c r="B94" s="7" t="s">
        <v>72</v>
      </c>
      <c r="C94" s="7" t="s">
        <v>207</v>
      </c>
      <c r="D94" s="7" t="s">
        <v>437</v>
      </c>
      <c r="E94" s="8">
        <v>29862</v>
      </c>
      <c r="F94" s="7">
        <v>1811400192</v>
      </c>
      <c r="G94" s="15" t="s">
        <v>627</v>
      </c>
      <c r="H94" s="9">
        <v>34540159643119</v>
      </c>
      <c r="I94" s="7" t="s">
        <v>436</v>
      </c>
      <c r="J94" s="7" t="s">
        <v>628</v>
      </c>
      <c r="K94" s="7" t="s">
        <v>630</v>
      </c>
      <c r="L94" s="7" t="s">
        <v>460</v>
      </c>
      <c r="M94" s="7" t="s">
        <v>442</v>
      </c>
      <c r="N94" s="7" t="s">
        <v>629</v>
      </c>
      <c r="O94" s="7" t="s">
        <v>442</v>
      </c>
      <c r="R94" s="7" t="s">
        <v>450</v>
      </c>
      <c r="T94" s="7" t="s">
        <v>630</v>
      </c>
    </row>
    <row r="95" spans="1:20" x14ac:dyDescent="0.5">
      <c r="A95" s="7">
        <v>94</v>
      </c>
      <c r="B95" s="7" t="s">
        <v>75</v>
      </c>
      <c r="C95" s="7" t="s">
        <v>210</v>
      </c>
      <c r="D95" s="7" t="s">
        <v>437</v>
      </c>
      <c r="E95" s="8">
        <v>26947</v>
      </c>
      <c r="F95" s="7">
        <v>1730500353</v>
      </c>
      <c r="G95" s="15" t="s">
        <v>631</v>
      </c>
      <c r="H95" s="9">
        <v>10000166286919</v>
      </c>
      <c r="I95" s="7" t="s">
        <v>436</v>
      </c>
      <c r="J95" s="7" t="s">
        <v>459</v>
      </c>
      <c r="K95" s="7" t="s">
        <v>635</v>
      </c>
      <c r="L95" s="7" t="s">
        <v>632</v>
      </c>
      <c r="M95" s="7" t="s">
        <v>442</v>
      </c>
      <c r="N95" s="7" t="s">
        <v>633</v>
      </c>
      <c r="O95" s="7" t="s">
        <v>444</v>
      </c>
      <c r="R95" s="7" t="s">
        <v>634</v>
      </c>
      <c r="T95" s="7" t="s">
        <v>635</v>
      </c>
    </row>
    <row r="96" spans="1:20" x14ac:dyDescent="0.5">
      <c r="A96" s="7">
        <v>95</v>
      </c>
      <c r="B96" s="7" t="s">
        <v>42</v>
      </c>
      <c r="C96" s="7" t="s">
        <v>177</v>
      </c>
      <c r="D96" s="7" t="s">
        <v>437</v>
      </c>
      <c r="E96" s="8">
        <v>24537</v>
      </c>
      <c r="F96" s="7">
        <v>1670800495</v>
      </c>
      <c r="G96" s="15" t="s">
        <v>636</v>
      </c>
      <c r="H96" s="9">
        <v>10000166266212</v>
      </c>
      <c r="I96" s="7" t="s">
        <v>436</v>
      </c>
      <c r="J96" s="7" t="s">
        <v>637</v>
      </c>
      <c r="K96" s="7" t="s">
        <v>639</v>
      </c>
      <c r="L96" s="7" t="s">
        <v>500</v>
      </c>
      <c r="M96" s="7" t="s">
        <v>480</v>
      </c>
      <c r="N96" s="7" t="s">
        <v>638</v>
      </c>
      <c r="O96" s="7" t="s">
        <v>480</v>
      </c>
      <c r="R96" s="7" t="s">
        <v>502</v>
      </c>
      <c r="T96" s="7" t="s">
        <v>639</v>
      </c>
    </row>
    <row r="97" spans="1:20" x14ac:dyDescent="0.5">
      <c r="A97" s="7">
        <v>96</v>
      </c>
      <c r="B97" s="7" t="s">
        <v>640</v>
      </c>
      <c r="C97" s="7" t="s">
        <v>187</v>
      </c>
      <c r="D97" s="7" t="s">
        <v>437</v>
      </c>
      <c r="E97" s="8">
        <v>33848</v>
      </c>
      <c r="F97" s="7">
        <v>1920300193</v>
      </c>
      <c r="G97" s="15" t="s">
        <v>801</v>
      </c>
      <c r="H97" s="9">
        <v>38020250817218</v>
      </c>
      <c r="I97" s="7" t="s">
        <v>436</v>
      </c>
      <c r="J97" s="7" t="s">
        <v>551</v>
      </c>
      <c r="K97" s="7" t="s">
        <v>639</v>
      </c>
      <c r="L97" s="7" t="s">
        <v>546</v>
      </c>
      <c r="M97" s="7" t="s">
        <v>442</v>
      </c>
      <c r="N97" s="7" t="s">
        <v>641</v>
      </c>
      <c r="O97" s="7" t="s">
        <v>444</v>
      </c>
      <c r="R97" s="7" t="s">
        <v>642</v>
      </c>
      <c r="T97" s="7" t="s">
        <v>639</v>
      </c>
    </row>
    <row r="98" spans="1:20" x14ac:dyDescent="0.5">
      <c r="A98" s="7">
        <v>97</v>
      </c>
      <c r="B98" s="7" t="s">
        <v>54</v>
      </c>
      <c r="C98" s="7" t="s">
        <v>189</v>
      </c>
      <c r="D98" s="7" t="s">
        <v>472</v>
      </c>
      <c r="E98" s="8">
        <v>34254</v>
      </c>
      <c r="F98" s="7">
        <v>2930300307</v>
      </c>
      <c r="G98" s="15" t="s">
        <v>802</v>
      </c>
      <c r="H98" s="9">
        <v>34110251260918</v>
      </c>
      <c r="I98" s="7" t="s">
        <v>436</v>
      </c>
      <c r="J98" s="7" t="s">
        <v>526</v>
      </c>
      <c r="K98" s="7" t="s">
        <v>639</v>
      </c>
      <c r="L98" s="7" t="s">
        <v>479</v>
      </c>
      <c r="M98" s="7" t="s">
        <v>442</v>
      </c>
      <c r="N98" s="7" t="s">
        <v>611</v>
      </c>
      <c r="O98" s="7" t="s">
        <v>444</v>
      </c>
      <c r="R98" s="7" t="s">
        <v>642</v>
      </c>
      <c r="T98" s="7" t="s">
        <v>639</v>
      </c>
    </row>
    <row r="99" spans="1:20" x14ac:dyDescent="0.5">
      <c r="A99" s="7">
        <v>98</v>
      </c>
      <c r="B99" s="7" t="s">
        <v>53</v>
      </c>
      <c r="C99" s="7" t="s">
        <v>188</v>
      </c>
      <c r="D99" s="7" t="s">
        <v>437</v>
      </c>
      <c r="E99" s="8">
        <v>32971</v>
      </c>
      <c r="F99" s="7">
        <v>1900300145</v>
      </c>
      <c r="G99" s="15" t="s">
        <v>803</v>
      </c>
      <c r="H99" s="9">
        <v>34490170859616</v>
      </c>
      <c r="I99" s="7" t="s">
        <v>436</v>
      </c>
      <c r="J99" s="7" t="s">
        <v>643</v>
      </c>
      <c r="K99" s="7" t="s">
        <v>639</v>
      </c>
      <c r="L99" s="7" t="s">
        <v>479</v>
      </c>
      <c r="M99" s="7" t="s">
        <v>442</v>
      </c>
      <c r="N99" s="7" t="s">
        <v>644</v>
      </c>
      <c r="O99" s="7" t="s">
        <v>444</v>
      </c>
      <c r="R99" s="7" t="s">
        <v>645</v>
      </c>
      <c r="T99" s="7" t="s">
        <v>639</v>
      </c>
    </row>
    <row r="100" spans="1:20" x14ac:dyDescent="0.5">
      <c r="A100" s="7">
        <v>99</v>
      </c>
      <c r="B100" s="7" t="s">
        <v>36</v>
      </c>
      <c r="C100" s="7" t="s">
        <v>171</v>
      </c>
      <c r="D100" s="7" t="s">
        <v>472</v>
      </c>
      <c r="E100" s="8">
        <v>32969</v>
      </c>
      <c r="F100" s="7">
        <v>2900300246</v>
      </c>
      <c r="G100" s="15" t="s">
        <v>804</v>
      </c>
      <c r="H100" s="9">
        <v>34620171176717</v>
      </c>
      <c r="I100" s="7" t="s">
        <v>436</v>
      </c>
      <c r="J100" s="7" t="s">
        <v>628</v>
      </c>
      <c r="K100" s="7" t="s">
        <v>639</v>
      </c>
      <c r="L100" s="7" t="s">
        <v>530</v>
      </c>
      <c r="M100" s="7" t="s">
        <v>442</v>
      </c>
      <c r="N100" s="7" t="s">
        <v>646</v>
      </c>
      <c r="O100" s="7" t="s">
        <v>444</v>
      </c>
      <c r="R100" s="7" t="s">
        <v>647</v>
      </c>
      <c r="T100" s="7" t="s">
        <v>639</v>
      </c>
    </row>
    <row r="101" spans="1:20" x14ac:dyDescent="0.5">
      <c r="A101" s="7">
        <v>100</v>
      </c>
      <c r="B101" s="7" t="s">
        <v>648</v>
      </c>
      <c r="C101" s="7" t="s">
        <v>205</v>
      </c>
      <c r="D101" s="7" t="s">
        <v>437</v>
      </c>
      <c r="E101" s="7" t="s">
        <v>649</v>
      </c>
      <c r="F101" s="7">
        <v>1904800001</v>
      </c>
      <c r="G101" s="15" t="s">
        <v>805</v>
      </c>
      <c r="H101" s="9">
        <v>38450226977210</v>
      </c>
      <c r="I101" s="7" t="s">
        <v>436</v>
      </c>
      <c r="J101" s="7" t="s">
        <v>551</v>
      </c>
      <c r="K101" s="7" t="s">
        <v>639</v>
      </c>
      <c r="L101" s="7" t="s">
        <v>617</v>
      </c>
      <c r="M101" s="7" t="s">
        <v>442</v>
      </c>
      <c r="N101" s="7" t="s">
        <v>650</v>
      </c>
      <c r="O101" s="7" t="s">
        <v>444</v>
      </c>
      <c r="R101" s="7" t="s">
        <v>619</v>
      </c>
      <c r="T101" s="7" t="s">
        <v>639</v>
      </c>
    </row>
    <row r="102" spans="1:20" x14ac:dyDescent="0.5">
      <c r="A102" s="7">
        <v>101</v>
      </c>
      <c r="B102" s="7" t="s">
        <v>651</v>
      </c>
      <c r="C102" s="7" t="s">
        <v>206</v>
      </c>
      <c r="D102" s="7" t="s">
        <v>437</v>
      </c>
      <c r="E102" s="8">
        <v>33239</v>
      </c>
      <c r="F102" s="7">
        <v>1910800280</v>
      </c>
      <c r="G102" s="15" t="s">
        <v>806</v>
      </c>
      <c r="H102" s="9">
        <v>38710250784719</v>
      </c>
      <c r="I102" s="7" t="s">
        <v>436</v>
      </c>
      <c r="J102" s="7" t="s">
        <v>614</v>
      </c>
      <c r="K102" s="7" t="s">
        <v>639</v>
      </c>
      <c r="L102" s="7" t="s">
        <v>617</v>
      </c>
      <c r="M102" s="7" t="s">
        <v>442</v>
      </c>
      <c r="N102" s="7" t="s">
        <v>652</v>
      </c>
      <c r="O102" s="7" t="s">
        <v>444</v>
      </c>
      <c r="R102" s="7" t="s">
        <v>653</v>
      </c>
      <c r="T102" s="7" t="s">
        <v>639</v>
      </c>
    </row>
    <row r="103" spans="1:20" x14ac:dyDescent="0.5">
      <c r="A103" s="7">
        <v>102</v>
      </c>
      <c r="B103" s="7" t="s">
        <v>76</v>
      </c>
      <c r="C103" s="7" t="s">
        <v>211</v>
      </c>
      <c r="D103" s="7" t="s">
        <v>437</v>
      </c>
      <c r="E103" s="8">
        <v>34096</v>
      </c>
      <c r="F103" s="7">
        <v>1930700107</v>
      </c>
      <c r="G103" s="15" t="s">
        <v>654</v>
      </c>
      <c r="H103" s="9">
        <v>10000250819419</v>
      </c>
      <c r="I103" s="7" t="s">
        <v>436</v>
      </c>
      <c r="J103" s="7" t="s">
        <v>655</v>
      </c>
      <c r="K103" s="7" t="s">
        <v>658</v>
      </c>
      <c r="L103" s="7" t="s">
        <v>656</v>
      </c>
      <c r="M103" s="7" t="s">
        <v>480</v>
      </c>
      <c r="N103" s="7" t="s">
        <v>657</v>
      </c>
      <c r="O103" s="7" t="s">
        <v>480</v>
      </c>
      <c r="R103" s="7" t="s">
        <v>516</v>
      </c>
      <c r="T103" s="7" t="s">
        <v>658</v>
      </c>
    </row>
    <row r="104" spans="1:20" x14ac:dyDescent="0.5">
      <c r="A104" s="7">
        <v>103</v>
      </c>
      <c r="B104" s="7" t="s">
        <v>120</v>
      </c>
      <c r="C104" s="7" t="s">
        <v>256</v>
      </c>
      <c r="D104" s="7" t="s">
        <v>437</v>
      </c>
      <c r="E104" s="8">
        <v>26376</v>
      </c>
      <c r="F104" s="7">
        <v>1720300297</v>
      </c>
      <c r="G104" s="15" t="s">
        <v>811</v>
      </c>
      <c r="I104" s="7" t="s">
        <v>436</v>
      </c>
      <c r="J104" s="7" t="s">
        <v>831</v>
      </c>
      <c r="K104" s="7" t="s">
        <v>838</v>
      </c>
    </row>
    <row r="105" spans="1:20" x14ac:dyDescent="0.5">
      <c r="A105" s="7">
        <v>104</v>
      </c>
      <c r="B105" s="7" t="s">
        <v>121</v>
      </c>
      <c r="C105" s="7" t="s">
        <v>257</v>
      </c>
      <c r="D105" s="7" t="s">
        <v>472</v>
      </c>
      <c r="E105" s="8">
        <v>27065</v>
      </c>
      <c r="F105" s="7">
        <v>2740300117</v>
      </c>
      <c r="G105" s="15" t="s">
        <v>813</v>
      </c>
      <c r="I105" s="7" t="s">
        <v>436</v>
      </c>
      <c r="J105" s="7" t="s">
        <v>831</v>
      </c>
      <c r="K105" s="7" t="s">
        <v>663</v>
      </c>
    </row>
    <row r="106" spans="1:20" x14ac:dyDescent="0.5">
      <c r="A106" s="7">
        <v>105</v>
      </c>
      <c r="B106" s="7" t="s">
        <v>122</v>
      </c>
      <c r="C106" s="7" t="s">
        <v>258</v>
      </c>
      <c r="D106" s="7" t="s">
        <v>472</v>
      </c>
      <c r="E106" s="8">
        <v>35994</v>
      </c>
      <c r="F106" s="7">
        <v>2980300142</v>
      </c>
      <c r="G106" s="15" t="s">
        <v>812</v>
      </c>
      <c r="I106" s="7" t="s">
        <v>436</v>
      </c>
      <c r="J106" s="7" t="s">
        <v>832</v>
      </c>
      <c r="K106" s="7" t="s">
        <v>839</v>
      </c>
    </row>
    <row r="107" spans="1:20" x14ac:dyDescent="0.5">
      <c r="A107" s="7">
        <v>106</v>
      </c>
      <c r="B107" s="7" t="s">
        <v>123</v>
      </c>
      <c r="C107" s="7" t="s">
        <v>259</v>
      </c>
      <c r="D107" s="7" t="s">
        <v>437</v>
      </c>
      <c r="E107" s="8">
        <v>27555</v>
      </c>
      <c r="F107" s="7">
        <v>1750300287</v>
      </c>
      <c r="G107" s="15" t="s">
        <v>814</v>
      </c>
      <c r="I107" s="7" t="s">
        <v>436</v>
      </c>
      <c r="J107" s="7" t="s">
        <v>833</v>
      </c>
      <c r="K107" s="7" t="s">
        <v>840</v>
      </c>
    </row>
    <row r="108" spans="1:20" x14ac:dyDescent="0.5">
      <c r="A108" s="7">
        <v>107</v>
      </c>
      <c r="B108" s="7" t="s">
        <v>124</v>
      </c>
      <c r="C108" s="7" t="s">
        <v>260</v>
      </c>
      <c r="D108" s="7" t="s">
        <v>472</v>
      </c>
      <c r="E108" s="8">
        <v>28084</v>
      </c>
      <c r="F108" s="7">
        <v>2760300055</v>
      </c>
      <c r="G108" s="15" t="s">
        <v>815</v>
      </c>
      <c r="I108" s="7" t="s">
        <v>436</v>
      </c>
      <c r="J108" s="7" t="s">
        <v>833</v>
      </c>
      <c r="K108" s="7" t="s">
        <v>482</v>
      </c>
    </row>
    <row r="109" spans="1:20" x14ac:dyDescent="0.5">
      <c r="A109" s="7">
        <v>108</v>
      </c>
      <c r="B109" s="7" t="s">
        <v>125</v>
      </c>
      <c r="C109" s="7" t="s">
        <v>261</v>
      </c>
      <c r="D109" s="7" t="s">
        <v>472</v>
      </c>
      <c r="E109" s="8">
        <v>28613</v>
      </c>
      <c r="F109" s="7">
        <v>2780300025</v>
      </c>
      <c r="G109" s="15" t="s">
        <v>816</v>
      </c>
      <c r="I109" s="7" t="s">
        <v>436</v>
      </c>
      <c r="J109" s="7" t="s">
        <v>833</v>
      </c>
      <c r="K109" s="7" t="s">
        <v>839</v>
      </c>
    </row>
    <row r="110" spans="1:20" x14ac:dyDescent="0.5">
      <c r="A110" s="7">
        <v>109</v>
      </c>
      <c r="B110" s="7" t="s">
        <v>126</v>
      </c>
      <c r="C110" s="7" t="s">
        <v>262</v>
      </c>
      <c r="D110" s="7" t="s">
        <v>472</v>
      </c>
      <c r="E110" s="8">
        <v>30259</v>
      </c>
      <c r="F110" s="7">
        <v>2820300159</v>
      </c>
      <c r="G110" s="15" t="s">
        <v>817</v>
      </c>
      <c r="I110" s="7" t="s">
        <v>436</v>
      </c>
      <c r="J110" s="7" t="s">
        <v>833</v>
      </c>
      <c r="K110" s="7" t="s">
        <v>839</v>
      </c>
    </row>
    <row r="111" spans="1:20" x14ac:dyDescent="0.5">
      <c r="A111" s="7">
        <v>110</v>
      </c>
      <c r="B111" s="7" t="s">
        <v>127</v>
      </c>
      <c r="C111" s="7" t="s">
        <v>263</v>
      </c>
      <c r="D111" s="7" t="s">
        <v>437</v>
      </c>
      <c r="E111" s="8">
        <v>31244</v>
      </c>
      <c r="F111" s="7">
        <v>1850300039</v>
      </c>
      <c r="G111" s="15" t="s">
        <v>818</v>
      </c>
      <c r="I111" s="7" t="s">
        <v>436</v>
      </c>
      <c r="J111" s="7" t="s">
        <v>833</v>
      </c>
      <c r="K111" s="7" t="s">
        <v>639</v>
      </c>
    </row>
    <row r="112" spans="1:20" x14ac:dyDescent="0.5">
      <c r="A112" s="7">
        <v>111</v>
      </c>
      <c r="B112" s="7" t="s">
        <v>128</v>
      </c>
      <c r="C112" s="7" t="s">
        <v>264</v>
      </c>
      <c r="D112" s="7" t="s">
        <v>472</v>
      </c>
      <c r="E112" s="8">
        <v>31588</v>
      </c>
      <c r="F112" s="7">
        <v>2860300021</v>
      </c>
      <c r="G112" s="15" t="s">
        <v>819</v>
      </c>
      <c r="I112" s="7" t="s">
        <v>436</v>
      </c>
      <c r="J112" s="7" t="s">
        <v>833</v>
      </c>
      <c r="K112" s="7" t="s">
        <v>839</v>
      </c>
    </row>
    <row r="113" spans="1:11" x14ac:dyDescent="0.5">
      <c r="A113" s="7">
        <v>112</v>
      </c>
      <c r="B113" s="7" t="s">
        <v>129</v>
      </c>
      <c r="C113" s="7" t="s">
        <v>265</v>
      </c>
      <c r="D113" s="7" t="s">
        <v>437</v>
      </c>
      <c r="E113" s="8">
        <v>31970</v>
      </c>
      <c r="F113" s="7">
        <v>1870300055</v>
      </c>
      <c r="G113" s="15" t="s">
        <v>820</v>
      </c>
      <c r="I113" s="7" t="s">
        <v>436</v>
      </c>
      <c r="J113" s="7" t="s">
        <v>833</v>
      </c>
      <c r="K113" s="7" t="s">
        <v>839</v>
      </c>
    </row>
    <row r="114" spans="1:11" x14ac:dyDescent="0.5">
      <c r="A114" s="7">
        <v>113</v>
      </c>
      <c r="B114" s="7" t="s">
        <v>130</v>
      </c>
      <c r="C114" s="7" t="s">
        <v>266</v>
      </c>
      <c r="D114" s="7" t="s">
        <v>437</v>
      </c>
      <c r="E114" s="8">
        <v>24861</v>
      </c>
      <c r="F114" s="7">
        <v>1680300329</v>
      </c>
      <c r="G114" s="15" t="s">
        <v>821</v>
      </c>
      <c r="I114" s="7" t="s">
        <v>436</v>
      </c>
      <c r="J114" s="7" t="s">
        <v>834</v>
      </c>
      <c r="K114" s="7" t="s">
        <v>841</v>
      </c>
    </row>
    <row r="115" spans="1:11" x14ac:dyDescent="0.5">
      <c r="A115" s="7">
        <v>114</v>
      </c>
      <c r="B115" s="7" t="s">
        <v>131</v>
      </c>
      <c r="C115" s="7" t="s">
        <v>267</v>
      </c>
      <c r="D115" s="7" t="s">
        <v>472</v>
      </c>
      <c r="E115" s="8">
        <v>33561</v>
      </c>
      <c r="F115" s="7">
        <v>2910300192</v>
      </c>
      <c r="G115" s="15" t="s">
        <v>822</v>
      </c>
      <c r="I115" s="7" t="s">
        <v>436</v>
      </c>
      <c r="J115" s="7" t="s">
        <v>834</v>
      </c>
      <c r="K115" s="7" t="s">
        <v>842</v>
      </c>
    </row>
    <row r="116" spans="1:11" x14ac:dyDescent="0.5">
      <c r="A116" s="7">
        <v>115</v>
      </c>
      <c r="B116" s="7" t="s">
        <v>132</v>
      </c>
      <c r="C116" s="7" t="s">
        <v>268</v>
      </c>
      <c r="D116" s="7" t="s">
        <v>472</v>
      </c>
      <c r="E116" s="8">
        <v>34525</v>
      </c>
      <c r="F116" s="7">
        <v>2940300006</v>
      </c>
      <c r="G116" s="15" t="s">
        <v>823</v>
      </c>
      <c r="I116" s="7" t="s">
        <v>436</v>
      </c>
      <c r="J116" s="7" t="s">
        <v>834</v>
      </c>
      <c r="K116" s="7" t="s">
        <v>839</v>
      </c>
    </row>
    <row r="117" spans="1:11" x14ac:dyDescent="0.5">
      <c r="A117" s="7">
        <v>116</v>
      </c>
      <c r="B117" s="7" t="s">
        <v>133</v>
      </c>
      <c r="C117" s="7" t="s">
        <v>269</v>
      </c>
      <c r="D117" s="7" t="s">
        <v>437</v>
      </c>
      <c r="E117" s="8">
        <v>34018</v>
      </c>
      <c r="F117" s="7">
        <v>1930300052</v>
      </c>
      <c r="G117" s="15" t="s">
        <v>824</v>
      </c>
      <c r="I117" s="7" t="s">
        <v>436</v>
      </c>
      <c r="J117" s="7" t="s">
        <v>835</v>
      </c>
      <c r="K117" s="7" t="s">
        <v>839</v>
      </c>
    </row>
    <row r="118" spans="1:11" x14ac:dyDescent="0.5">
      <c r="A118" s="7">
        <v>117</v>
      </c>
      <c r="B118" s="7" t="s">
        <v>134</v>
      </c>
      <c r="C118" s="7" t="s">
        <v>270</v>
      </c>
      <c r="D118" s="7" t="s">
        <v>472</v>
      </c>
      <c r="E118" s="8">
        <v>36012</v>
      </c>
      <c r="F118" s="7">
        <v>2981400029</v>
      </c>
      <c r="G118" s="15" t="s">
        <v>825</v>
      </c>
      <c r="I118" s="7" t="s">
        <v>436</v>
      </c>
      <c r="J118" s="7" t="s">
        <v>834</v>
      </c>
      <c r="K118" s="7" t="s">
        <v>839</v>
      </c>
    </row>
    <row r="119" spans="1:11" x14ac:dyDescent="0.5">
      <c r="A119" s="7">
        <v>118</v>
      </c>
      <c r="B119" s="7" t="s">
        <v>135</v>
      </c>
      <c r="C119" s="7" t="s">
        <v>271</v>
      </c>
      <c r="D119" s="7" t="s">
        <v>472</v>
      </c>
      <c r="E119" s="8">
        <v>35350</v>
      </c>
      <c r="F119" s="7">
        <v>2960300101</v>
      </c>
      <c r="G119" s="15" t="s">
        <v>826</v>
      </c>
      <c r="I119" s="7" t="s">
        <v>436</v>
      </c>
      <c r="J119" s="7" t="s">
        <v>836</v>
      </c>
      <c r="K119" s="7" t="s">
        <v>839</v>
      </c>
    </row>
    <row r="120" spans="1:11" x14ac:dyDescent="0.5">
      <c r="A120" s="7">
        <v>119</v>
      </c>
      <c r="B120" s="7" t="s">
        <v>136</v>
      </c>
      <c r="C120" s="7" t="s">
        <v>272</v>
      </c>
      <c r="D120" s="7" t="s">
        <v>437</v>
      </c>
      <c r="E120" s="8">
        <v>35943</v>
      </c>
      <c r="F120" s="7">
        <v>1980300018</v>
      </c>
      <c r="G120" s="15" t="s">
        <v>827</v>
      </c>
      <c r="I120" s="7" t="s">
        <v>436</v>
      </c>
      <c r="J120" s="7" t="s">
        <v>835</v>
      </c>
      <c r="K120" s="7" t="s">
        <v>839</v>
      </c>
    </row>
    <row r="121" spans="1:11" x14ac:dyDescent="0.5">
      <c r="A121" s="7">
        <v>120</v>
      </c>
      <c r="B121" s="7" t="s">
        <v>137</v>
      </c>
      <c r="C121" s="7" t="s">
        <v>273</v>
      </c>
      <c r="D121" s="7" t="s">
        <v>472</v>
      </c>
      <c r="E121" s="8">
        <v>35827</v>
      </c>
      <c r="F121" s="7">
        <v>2980300044</v>
      </c>
      <c r="G121" s="15" t="s">
        <v>828</v>
      </c>
      <c r="I121" s="7" t="s">
        <v>436</v>
      </c>
      <c r="J121" s="7" t="s">
        <v>835</v>
      </c>
      <c r="K121" s="7" t="s">
        <v>842</v>
      </c>
    </row>
    <row r="122" spans="1:11" x14ac:dyDescent="0.5">
      <c r="A122" s="7">
        <v>121</v>
      </c>
      <c r="B122" s="7" t="s">
        <v>138</v>
      </c>
      <c r="C122" s="7" t="s">
        <v>274</v>
      </c>
      <c r="D122" s="7" t="s">
        <v>437</v>
      </c>
      <c r="E122" s="8">
        <v>35098</v>
      </c>
      <c r="F122" s="7">
        <v>1960300052</v>
      </c>
      <c r="G122" s="15" t="s">
        <v>829</v>
      </c>
      <c r="I122" s="7" t="s">
        <v>436</v>
      </c>
      <c r="J122" s="7" t="s">
        <v>837</v>
      </c>
      <c r="K122" s="7" t="s">
        <v>839</v>
      </c>
    </row>
    <row r="123" spans="1:11" x14ac:dyDescent="0.5">
      <c r="A123" s="7">
        <v>122</v>
      </c>
      <c r="B123" s="7" t="s">
        <v>139</v>
      </c>
      <c r="C123" s="7" t="s">
        <v>275</v>
      </c>
      <c r="D123" s="7" t="s">
        <v>472</v>
      </c>
      <c r="E123" s="8">
        <v>35262</v>
      </c>
      <c r="F123" s="7">
        <v>2960300120</v>
      </c>
      <c r="G123" s="15" t="s">
        <v>830</v>
      </c>
      <c r="I123" s="7" t="s">
        <v>436</v>
      </c>
      <c r="J123" s="7" t="s">
        <v>837</v>
      </c>
      <c r="K123" s="7" t="s">
        <v>839</v>
      </c>
    </row>
    <row r="124" spans="1:11" x14ac:dyDescent="0.5">
      <c r="A124" s="7">
        <v>123</v>
      </c>
      <c r="B124" s="16" t="s">
        <v>843</v>
      </c>
      <c r="C124" s="7" t="s">
        <v>860</v>
      </c>
      <c r="D124" s="7" t="s">
        <v>472</v>
      </c>
      <c r="E124" s="8">
        <v>36144</v>
      </c>
      <c r="F124" s="7">
        <v>2980300154</v>
      </c>
      <c r="G124" s="15" t="s">
        <v>844</v>
      </c>
      <c r="I124" s="7" t="s">
        <v>436</v>
      </c>
      <c r="J124" s="7" t="s">
        <v>847</v>
      </c>
      <c r="K124" s="7" t="s">
        <v>848</v>
      </c>
    </row>
    <row r="125" spans="1:11" x14ac:dyDescent="0.5">
      <c r="A125" s="7">
        <v>124</v>
      </c>
      <c r="B125" s="16" t="s">
        <v>845</v>
      </c>
      <c r="C125" s="7" t="s">
        <v>861</v>
      </c>
      <c r="D125" s="7" t="s">
        <v>472</v>
      </c>
      <c r="E125" s="8">
        <v>37368</v>
      </c>
      <c r="F125" s="7">
        <v>2020300019</v>
      </c>
      <c r="G125" s="15" t="s">
        <v>846</v>
      </c>
      <c r="I125" s="7" t="s">
        <v>436</v>
      </c>
      <c r="J125" s="7" t="s">
        <v>847</v>
      </c>
      <c r="K125" s="7" t="s">
        <v>848</v>
      </c>
    </row>
    <row r="126" spans="1:11" x14ac:dyDescent="0.5">
      <c r="A126" s="7">
        <v>125</v>
      </c>
      <c r="B126" s="16" t="s">
        <v>849</v>
      </c>
      <c r="C126" s="7" t="s">
        <v>862</v>
      </c>
      <c r="D126" s="7" t="s">
        <v>472</v>
      </c>
      <c r="E126" s="8">
        <v>37708</v>
      </c>
      <c r="F126" s="7">
        <v>2034800003</v>
      </c>
      <c r="G126" s="15" t="s">
        <v>850</v>
      </c>
      <c r="I126" s="7" t="s">
        <v>436</v>
      </c>
      <c r="J126" s="7" t="s">
        <v>851</v>
      </c>
      <c r="K126" s="7" t="s">
        <v>848</v>
      </c>
    </row>
    <row r="127" spans="1:11" x14ac:dyDescent="0.5">
      <c r="A127" s="7">
        <v>126</v>
      </c>
      <c r="B127" s="16" t="s">
        <v>852</v>
      </c>
      <c r="C127" s="7" t="s">
        <v>863</v>
      </c>
      <c r="D127" s="7" t="s">
        <v>472</v>
      </c>
      <c r="E127" s="8">
        <v>35981</v>
      </c>
      <c r="F127" s="7">
        <v>2980300083</v>
      </c>
      <c r="G127" s="15" t="s">
        <v>853</v>
      </c>
      <c r="I127" s="7" t="s">
        <v>436</v>
      </c>
      <c r="J127" s="7" t="s">
        <v>854</v>
      </c>
      <c r="K127" s="7" t="s">
        <v>848</v>
      </c>
    </row>
    <row r="128" spans="1:11" x14ac:dyDescent="0.5">
      <c r="A128" s="7">
        <v>127</v>
      </c>
      <c r="B128" s="16" t="s">
        <v>855</v>
      </c>
      <c r="C128" s="7" t="s">
        <v>864</v>
      </c>
      <c r="D128" s="7" t="s">
        <v>437</v>
      </c>
      <c r="E128" s="8">
        <v>37528</v>
      </c>
      <c r="F128" s="7">
        <v>1020300008</v>
      </c>
      <c r="G128" s="15" t="s">
        <v>856</v>
      </c>
      <c r="I128" s="7" t="s">
        <v>436</v>
      </c>
      <c r="J128" s="7" t="s">
        <v>851</v>
      </c>
      <c r="K128" s="7" t="s">
        <v>848</v>
      </c>
    </row>
    <row r="129" spans="1:11" x14ac:dyDescent="0.5">
      <c r="A129" s="7">
        <v>128</v>
      </c>
      <c r="B129" s="16" t="s">
        <v>857</v>
      </c>
      <c r="C129" s="7" t="s">
        <v>865</v>
      </c>
      <c r="D129" s="7" t="s">
        <v>472</v>
      </c>
      <c r="E129" s="8">
        <v>35914</v>
      </c>
      <c r="F129" s="7">
        <v>2980300081</v>
      </c>
      <c r="G129" s="15" t="s">
        <v>858</v>
      </c>
      <c r="I129" s="7" t="s">
        <v>436</v>
      </c>
      <c r="J129" s="7" t="s">
        <v>854</v>
      </c>
      <c r="K129" s="7" t="s">
        <v>848</v>
      </c>
    </row>
    <row r="130" spans="1:11" x14ac:dyDescent="0.5">
      <c r="A130" s="7">
        <v>129</v>
      </c>
      <c r="B130" s="6" t="s">
        <v>119</v>
      </c>
      <c r="C130" s="7" t="s">
        <v>255</v>
      </c>
      <c r="D130" s="7" t="s">
        <v>437</v>
      </c>
      <c r="E130" s="8"/>
      <c r="I130" s="7" t="s">
        <v>436</v>
      </c>
    </row>
    <row r="131" spans="1:11" x14ac:dyDescent="0.5">
      <c r="A131" s="7">
        <v>130</v>
      </c>
      <c r="B131" s="6" t="s">
        <v>140</v>
      </c>
      <c r="C131" s="7" t="s">
        <v>276</v>
      </c>
      <c r="D131" s="7" t="s">
        <v>437</v>
      </c>
      <c r="E131" s="8"/>
      <c r="I131" s="7" t="s">
        <v>436</v>
      </c>
    </row>
  </sheetData>
  <pageMargins left="0.7" right="0.7" top="0.75" bottom="0.75" header="0.3" footer="0.3"/>
  <pageSetup paperSize="8" orientation="portrait" horizontalDpi="1200" verticalDpi="1200" r:id="rId1"/>
  <ignoredErrors>
    <ignoredError sqref="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people</vt:lpstr>
      <vt:lpstr>assignment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2026-05-26T08:48:25Z</dcterms:modified>
</cp:coreProperties>
</file>