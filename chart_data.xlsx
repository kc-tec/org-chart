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E7573682-95B3-408C-8F51-CAA378F95A93}" xr6:coauthVersionLast="47" xr6:coauthVersionMax="47" xr10:uidLastSave="{00000000-0000-0000-0000-000000000000}"/>
  <bookViews>
    <workbookView xWindow="-107" yWindow="-107" windowWidth="20847" windowHeight="11111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1" i="1" l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F32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" i="2"/>
  <c r="F2" i="1"/>
  <c r="F124" i="1"/>
  <c r="F125" i="1"/>
  <c r="F123" i="1"/>
  <c r="F120" i="1"/>
  <c r="F121" i="1"/>
  <c r="F122" i="1"/>
  <c r="F65" i="1"/>
  <c r="F66" i="1"/>
  <c r="F67" i="1"/>
  <c r="F118" i="1"/>
  <c r="F119" i="1"/>
  <c r="F112" i="1"/>
  <c r="F113" i="1"/>
  <c r="F114" i="1"/>
  <c r="F115" i="1"/>
  <c r="F116" i="1"/>
  <c r="F117" i="1"/>
  <c r="F101" i="1"/>
  <c r="F102" i="1"/>
  <c r="F103" i="1"/>
  <c r="F104" i="1"/>
  <c r="F105" i="1"/>
  <c r="F106" i="1"/>
  <c r="F107" i="1"/>
  <c r="F108" i="1"/>
  <c r="F109" i="1"/>
  <c r="F110" i="1"/>
  <c r="F111" i="1"/>
  <c r="F94" i="1"/>
  <c r="F95" i="1"/>
  <c r="F96" i="1"/>
  <c r="F97" i="1"/>
  <c r="F98" i="1"/>
  <c r="F99" i="1"/>
  <c r="F100" i="1"/>
  <c r="F83" i="1"/>
  <c r="F84" i="1"/>
  <c r="F85" i="1"/>
  <c r="F86" i="1"/>
  <c r="F87" i="1"/>
  <c r="F88" i="1"/>
  <c r="F89" i="1"/>
  <c r="F90" i="1"/>
  <c r="F91" i="1"/>
  <c r="F92" i="1"/>
  <c r="F93" i="1"/>
  <c r="F59" i="1"/>
  <c r="F60" i="1"/>
  <c r="F61" i="1"/>
  <c r="F62" i="1"/>
  <c r="F63" i="1"/>
  <c r="F75" i="1"/>
  <c r="F76" i="1"/>
  <c r="F77" i="1"/>
  <c r="F78" i="1"/>
  <c r="F79" i="1"/>
  <c r="F80" i="1"/>
  <c r="F81" i="1"/>
  <c r="F82" i="1"/>
  <c r="F50" i="1"/>
  <c r="F51" i="1"/>
  <c r="F52" i="1"/>
  <c r="F53" i="1"/>
  <c r="F54" i="1"/>
  <c r="F8" i="1"/>
  <c r="F9" i="1"/>
  <c r="F10" i="1"/>
  <c r="F11" i="1"/>
  <c r="F5" i="1"/>
  <c r="F6" i="1"/>
  <c r="F7" i="1"/>
  <c r="F3" i="1"/>
  <c r="F4" i="1"/>
  <c r="D4" i="1"/>
  <c r="D3" i="1"/>
  <c r="A3" i="1"/>
  <c r="D40" i="1" s="1"/>
  <c r="F42" i="1"/>
  <c r="F43" i="1"/>
  <c r="F44" i="1"/>
  <c r="F45" i="1"/>
  <c r="F46" i="1"/>
  <c r="F34" i="1"/>
  <c r="F35" i="1"/>
  <c r="F36" i="1"/>
  <c r="F37" i="1"/>
  <c r="F38" i="1"/>
  <c r="F39" i="1"/>
  <c r="F33" i="1"/>
  <c r="F40" i="1"/>
  <c r="F41" i="1"/>
  <c r="F47" i="1"/>
  <c r="F48" i="1"/>
  <c r="F49" i="1"/>
  <c r="F55" i="1"/>
  <c r="F56" i="1"/>
  <c r="F57" i="1"/>
  <c r="F58" i="1"/>
  <c r="F64" i="1"/>
  <c r="F68" i="1"/>
  <c r="F69" i="1"/>
  <c r="F71" i="1"/>
  <c r="F72" i="1"/>
  <c r="F73" i="1"/>
  <c r="F74" i="1"/>
  <c r="F70" i="1"/>
  <c r="D32" i="1" l="1"/>
  <c r="D12" i="1"/>
  <c r="D7" i="1"/>
  <c r="D5" i="1"/>
  <c r="D6" i="1"/>
  <c r="A4" i="1"/>
  <c r="A5" i="1" l="1"/>
  <c r="A6" i="1" s="1"/>
  <c r="A7" i="1" s="1"/>
  <c r="A8" i="1" s="1"/>
  <c r="A9" i="1" s="1"/>
  <c r="A10" i="1" s="1"/>
  <c r="D8" i="1"/>
  <c r="D10" i="1"/>
  <c r="D11" i="1"/>
  <c r="D9" i="1"/>
  <c r="D55" i="1"/>
  <c r="D47" i="1"/>
  <c r="D50" i="1" l="1"/>
  <c r="D33" i="1"/>
  <c r="D52" i="1" l="1"/>
  <c r="D53" i="1"/>
  <c r="D54" i="1"/>
  <c r="D51" i="1"/>
  <c r="D34" i="1"/>
  <c r="D35" i="1"/>
  <c r="D38" i="1"/>
  <c r="D39" i="1"/>
  <c r="D36" i="1"/>
  <c r="D37" i="1"/>
  <c r="D59" i="1" l="1"/>
  <c r="D60" i="1"/>
  <c r="D61" i="1"/>
  <c r="D63" i="1"/>
  <c r="D62" i="1"/>
  <c r="D41" i="1"/>
  <c r="D85" i="1" l="1"/>
  <c r="D86" i="1"/>
  <c r="D87" i="1"/>
  <c r="D88" i="1"/>
  <c r="D89" i="1"/>
  <c r="D90" i="1"/>
  <c r="D91" i="1"/>
  <c r="D92" i="1"/>
  <c r="D93" i="1"/>
  <c r="D83" i="1"/>
  <c r="D84" i="1"/>
  <c r="D43" i="1"/>
  <c r="D44" i="1"/>
  <c r="D46" i="1"/>
  <c r="D42" i="1"/>
  <c r="D45" i="1"/>
  <c r="D99" i="1" l="1"/>
  <c r="D100" i="1"/>
  <c r="D94" i="1"/>
  <c r="D95" i="1"/>
  <c r="D96" i="1"/>
  <c r="D97" i="1"/>
  <c r="D98" i="1"/>
  <c r="D58" i="1"/>
  <c r="D49" i="1"/>
  <c r="D64" i="1"/>
  <c r="D57" i="1"/>
  <c r="D48" i="1"/>
  <c r="D106" i="1" l="1"/>
  <c r="D107" i="1"/>
  <c r="D108" i="1"/>
  <c r="D109" i="1"/>
  <c r="D110" i="1"/>
  <c r="D111" i="1"/>
  <c r="D101" i="1"/>
  <c r="D102" i="1"/>
  <c r="D103" i="1"/>
  <c r="D104" i="1"/>
  <c r="D105" i="1"/>
  <c r="D56" i="1"/>
  <c r="D112" i="1" l="1"/>
  <c r="D113" i="1"/>
  <c r="D114" i="1"/>
  <c r="D115" i="1"/>
  <c r="D116" i="1"/>
  <c r="D117" i="1"/>
  <c r="D69" i="1"/>
  <c r="D68" i="1"/>
  <c r="D119" i="1" l="1"/>
  <c r="D118" i="1"/>
  <c r="D66" i="1" l="1"/>
  <c r="D67" i="1"/>
  <c r="D65" i="1"/>
  <c r="D121" i="1" l="1"/>
  <c r="D122" i="1"/>
  <c r="D120" i="1"/>
  <c r="D123" i="1" l="1"/>
  <c r="D125" i="1" l="1"/>
  <c r="D124" i="1"/>
  <c r="D73" i="1" l="1"/>
  <c r="D74" i="1"/>
  <c r="D70" i="1"/>
  <c r="D71" i="1"/>
  <c r="D72" i="1"/>
  <c r="D75" i="1" l="1"/>
  <c r="D80" i="1"/>
  <c r="D81" i="1"/>
  <c r="D82" i="1"/>
  <c r="D79" i="1"/>
  <c r="D76" i="1"/>
  <c r="D77" i="1"/>
  <c r="D78" i="1"/>
  <c r="D13" i="1" l="1"/>
  <c r="D15" i="1" l="1"/>
  <c r="D27" i="1"/>
  <c r="D16" i="1"/>
  <c r="D28" i="1"/>
  <c r="D17" i="1"/>
  <c r="D29" i="1"/>
  <c r="D18" i="1"/>
  <c r="D30" i="1"/>
  <c r="D19" i="1"/>
  <c r="D31" i="1"/>
  <c r="D20" i="1"/>
  <c r="D14" i="1"/>
  <c r="D21" i="1"/>
  <c r="D22" i="1"/>
  <c r="D23" i="1"/>
  <c r="D24" i="1"/>
  <c r="D25" i="1"/>
  <c r="D2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<sst xmlns="http://schemas.openxmlformats.org/spreadsheetml/2006/main" count="2544" uniqueCount="812">
  <si>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</si>
  <si>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</si>
  <si>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</si>
  <si>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</si>
  <si>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</si>
  <si>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</si>
  <si>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</si>
  <si>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</si>
  <si>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</si>
  <si>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</si>
  <si>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</si>
  <si>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</si>
  <si>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</si>
  <si>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</si>
  <si>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</si>
  <si>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</si>
  <si>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</si>
  <si>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</si>
  <si>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</si>
  <si>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</si>
  <si>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</si>
  <si>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</si>
  <si>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</si>
  <si>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</si>
  <si>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</si>
  <si>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</si>
  <si>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</si>
  <si>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</si>
  <si>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</si>
  <si>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</si>
  <si>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</si>
  <si>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</si>
  <si>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</si>
  <si>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</si>
  <si>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</si>
  <si>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</si>
  <si>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</si>
  <si>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</si>
  <si>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</si>
  <si>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</si>
  <si>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</si>
  <si>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</si>
  <si>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</si>
  <si>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</si>
  <si>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</si>
  <si>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</si>
  <si>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</si>
  <si>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</si>
  <si>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</si>
  <si>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</si>
  <si>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</si>
  <si>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</si>
  <si>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</si>
  <si>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</si>
  <si>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</si>
  <si>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</si>
  <si>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</si>
  <si>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</si>
  <si>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</si>
  <si>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</si>
  <si>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</si>
  <si>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</si>
  <si>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</si>
  <si>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</si>
  <si>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</si>
  <si>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</si>
  <si>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</si>
  <si>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</si>
  <si>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</si>
  <si>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</si>
  <si>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</si>
  <si>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</si>
  <si>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</si>
  <si>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</si>
  <si>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</si>
  <si>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</si>
  <si>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</si>
  <si>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</si>
  <si>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</si>
  <si>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</si>
  <si>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</si>
  <si>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</si>
  <si>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</si>
  <si>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</si>
  <si>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</si>
  <si>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</si>
  <si>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</si>
  <si>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</si>
  <si>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</si>
  <si>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</si>
  <si>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</si>
  <si>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</si>
  <si>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</si>
  <si>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</si>
  <si>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</si>
  <si>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</si>
  <si>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</si>
  <si>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</si>
  <si>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</si>
  <si>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</si>
  <si>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</si>
  <si>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</si>
  <si>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</si>
  <si>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</si>
  <si>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</si>
  <si>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</si>
  <si>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</si>
  <si>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</si>
  <si>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</si>
  <si>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</si>
  <si>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</si>
  <si>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</si>
  <si>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</si>
  <si>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</si>
  <si>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</si>
  <si>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</si>
  <si>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</si>
  <si>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</si>
  <si>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</si>
  <si>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</si>
  <si>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</si>
  <si>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</si>
  <si>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</si>
  <si>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</si>
  <si>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</si>
  <si>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</si>
  <si>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</si>
  <si>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</si>
  <si>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</si>
  <si>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</si>
  <si>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</si>
  <si>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</si>
  <si>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</si>
  <si>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</si>
  <si>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</si>
  <si>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</si>
  <si>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</si>
  <si>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</si>
  <si>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</si>
  <si>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</si>
  <si>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</si>
  <si>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</si>
  <si>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</si>
  <si>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</si>
  <si>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</si>
  <si>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</si>
  <si>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</si>
  <si>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</si>
  <si>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</si>
  <si>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</si>
  <si>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</si>
  <si>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</si>
  <si>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</si>
  <si>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</si>
  <si>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</si>
  <si>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</si>
  <si>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</si>
  <si>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</si>
  <si>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</si>
  <si>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</si>
  <si>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</si>
  <si>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</si>
  <si>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</si>
  <si>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</si>
  <si>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</si>
  <si>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</si>
  <si>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</si>
  <si>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</si>
  <si>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</si>
  <si>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</si>
  <si>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</si>
  <si>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</si>
  <si>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</si>
  <si>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</si>
  <si>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</si>
  <si>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</si>
  <si>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</si>
  <si>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</si>
  <si>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</si>
  <si>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</si>
  <si>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</si>
  <si>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</si>
  <si>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</si>
  <si>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</si>
  <si>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</si>
  <si>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</si>
  <si>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</si>
  <si>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</si>
  <si>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</si>
  <si>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</si>
  <si>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</si>
  <si>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</si>
  <si>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</si>
  <si>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</si>
  <si>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</si>
  <si>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</si>
  <si>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</si>
  <si>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</si>
  <si>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</si>
  <si>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</si>
  <si>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</si>
  <si>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</si>
  <si>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</si>
  <si>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</si>
  <si>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</si>
  <si>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</si>
  <si>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</si>
  <si>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</si>
  <si>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</si>
  <si>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</si>
  <si>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</si>
  <si>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</si>
  <si>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</si>
  <si>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</si>
  <si>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</si>
  <si>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</si>
  <si>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</si>
  <si>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</si>
  <si>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</si>
  <si>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</si>
  <si>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</si>
  <si>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</si>
  <si>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</si>
  <si>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</si>
  <si>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</si>
  <si>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</si>
  <si>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</si>
  <si>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</si>
  <si>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</si>
  <si>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</si>
  <si>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</si>
  <si>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</si>
  <si>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</si>
  <si>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</si>
  <si>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</si>
  <si>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</si>
  <si>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</si>
  <si>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</si>
  <si>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</si>
  <si>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</si>
  <si>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</si>
  <si>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</si>
  <si>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</si>
  <si>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</si>
  <si>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</si>
  <si>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</si>
  <si>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</si>
  <si>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</si>
  <si>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</si>
  <si>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</si>
  <si>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</si>
  <si>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</si>
  <si>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</si>
  <si>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</si>
  <si>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</si>
  <si>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</si>
  <si>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</si>
  <si>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</si>
  <si>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</si>
  <si>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</si>
  <si>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</si>
  <si>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</si>
  <si>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</si>
  <si>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</si>
  <si>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</si>
  <si>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</si>
  <si>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</si>
  <si>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</si>
  <si>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</si>
  <si>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</si>
  <si>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</si>
  <si>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</si>
  <si>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</si>
  <si>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</si>
  <si>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</si>
  <si>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</si>
  <si>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</si>
  <si>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</si>
  <si>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</si>
  <si>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</si>
  <si>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</si>
  <si>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</si>
  <si>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</si>
  <si>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</si>
  <si>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</si>
  <si>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</si>
  <si>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</si>
  <si>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</si>
  <si>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</si>
  <si>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</si>
  <si>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</si>
  <si>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</si>
  <si>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</si>
  <si>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</si>
  <si>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</si>
  <si>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</si>
  <si>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</si>
  <si>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</si>
  <si>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</si>
  <si>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</si>
  <si>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</si>
  <si>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</si>
  <si>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</si>
  <si>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</si>
  <si>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</si>
  <si>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</si>
  <si>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</si>
  <si>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</si>
  <si>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</si>
  <si>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</si>
  <si>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</si>
  <si>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</si>
  <si>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</si>
  <si>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</si>
  <si>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</si>
  <si>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</si>
  <si>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</si>
  <si>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</si>
  <si>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</si>
  <si>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</si>
  <si>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</si>
  <si>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</si>
  <si>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</si>
  <si>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</si>
  <si>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</si>
  <si>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</si>
  <si>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</si>
  <si>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</si>
  <si>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</si>
  <si>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</si>
  <si>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</si>
  <si>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</si>
  <si>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</si>
  <si>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</si>
  <si>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</si>
  <si>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</si>
  <si>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</si>
  <si>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</si>
  <si>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</si>
  <si>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</si>
  <si>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</si>
  <si>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</si>
  <si>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</si>
  <si>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</si>
  <si>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</si>
  <si>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</si>
  <si>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</si>
  <si>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</si>
  <si>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</si>
  <si>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</si>
  <si>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</si>
  <si>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</si>
  <si>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</si>
  <si>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</si>
  <si>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</si>
  <si>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</si>
  <si>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</si>
  <si>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</si>
  <si>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</si>
  <si>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</si>
  <si>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</si>
  <si>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</si>
  <si>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</si>
  <si>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</si>
  <si>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</si>
  <si>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</si>
  <si>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</si>
  <si>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</si>
  <si>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</si>
  <si>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</si>
  <si>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</si>
  <si>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</si>
  <si>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</si>
  <si>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</si>
  <si>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</si>
  <si>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</si>
  <si>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</si>
  <si>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</si>
  <si>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</si>
  <si>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</si>
  <si>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</si>
  <si>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</si>
  <si>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</si>
  <si>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</si>
  <si>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</si>
  <si>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</si>
  <si>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</si>
  <si>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</si>
  <si>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</si>
  <si>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</si>
  <si>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</si>
  <si>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</si>
  <si>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</si>
  <si>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</si>
  <si>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</si>
  <si>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</si>
  <si>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</si>
  <si>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</si>
  <si>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</si>
  <si>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</si>
  <si>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</si>
  <si>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</si>
  <si>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</si>
  <si>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</si>
  <si>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</si>
  <si>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</si>
  <si>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</si>
  <si>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</si>
  <si>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</si>
  <si>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</si>
  <si>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</si>
  <si>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</si>
  <si>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</si>
  <si>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</si>
  <si>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</si>
  <si>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</si>
  <si>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</si>
  <si>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</si>
  <si>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</si>
  <si>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</si>
  <si>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</si>
  <si>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</si>
  <si>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</si>
  <si>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</si>
  <si>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</si>
  <si>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</si>
  <si>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</si>
  <si>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</si>
  <si>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</si>
  <si>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</si>
  <si>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</si>
  <si>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</si>
  <si>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</si>
  <si>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</si>
  <si>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</si>
  <si>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</si>
  <si>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</si>
  <si>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</si>
  <si>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</si>
  <si>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</si>
  <si>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</si>
  <si>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</si>
  <si>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</si>
  <si>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</si>
  <si>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</si>
  <si>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</si>
  <si>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</si>
  <si>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</si>
  <si>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</si>
  <si>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</si>
  <si>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</si>
  <si>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</si>
  <si>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</si>
  <si>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</si>
  <si>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</si>
  <si>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</si>
  <si>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</si>
  <si>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</si>
  <si>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</si>
  <si>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</si>
  <si>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</si>
  <si>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</si>
  <si>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</si>
  <si>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</si>
  <si>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</si>
  <si>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</si>
  <si>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</si>
  <si>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</si>
  <si>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</si>
  <si>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</si>
  <si>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</si>
  <si>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</si>
  <si>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</si>
  <si>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</si>
  <si>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</si>
  <si>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</si>
  <si>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</si>
  <si>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</si>
  <si>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</si>
  <si>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</si>
  <si>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</si>
  <si>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</si>
  <si>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</si>
  <si>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</si>
  <si>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</si>
  <si>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</si>
  <si>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</si>
  <si>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</si>
  <si>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</si>
  <si>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</si>
  <si>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</si>
  <si>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</si>
  <si>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</si>
  <si>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</si>
  <si>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</si>
  <si>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</si>
  <si>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</si>
  <si>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</si>
  <si>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</si>
  <si>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</si>
  <si>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</si>
  <si>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</si>
  <si>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</si>
  <si>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</si>
  <si>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</si>
  <si>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</si>
  <si>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</si>
  <si>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</si>
  <si>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</si>
  <si>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</si>
  <si>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</si>
  <si>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</si>
  <si>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</si>
  <si>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</si>
  <si>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</si>
  <si>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</si>
  <si>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</si>
  <si>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</si>
  <si>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</si>
  <si>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</si>
  <si>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</si>
  <si>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</si>
  <si>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</si>
  <si>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</si>
  <si>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</si>
  <si>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</si>
  <si>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</si>
  <si>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</si>
  <si>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</si>
  <si>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</si>
  <si>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</si>
  <si>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</si>
  <si>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</si>
  <si>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</si>
  <si>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</si>
  <si>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</si>
  <si>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</si>
  <si>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</si>
  <si>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</si>
  <si>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</si>
  <si>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</si>
  <si>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</si>
  <si>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</si>
  <si>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</si>
  <si>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</si>
  <si>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</si>
  <si>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</si>
  <si>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</si>
  <si>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</si>
  <si>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</si>
  <si>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</si>
  <si>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</si>
  <si>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</si>
  <si>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</si>
  <si>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</si>
  <si>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</si>
  <si>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</si>
  <si>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</si>
  <si>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</si>
  <si>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</si>
  <si>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</si>
  <si>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</si>
  <si>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</si>
  <si>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</si>
  <si>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</si>
  <si>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</si>
  <si>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</si>
  <si>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</si>
  <si>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</si>
  <si>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</si>
  <si>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</si>
  <si>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</si>
  <si>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</si>
  <si>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</si>
  <si>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</si>
  <si>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</si>
  <si>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</si>
  <si>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</si>
  <si>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</si>
  <si>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</si>
  <si>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</si>
  <si>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</si>
  <si>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</si>
  <si>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</si>
  <si>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</si>
  <si>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</si>
  <si>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</si>
  <si>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</si>
  <si>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</si>
  <si>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</si>
  <si>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</si>
  <si>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</si>
  <si>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</si>
  <si>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</si>
  <si>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</si>
  <si>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</si>
  <si>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</si>
  <si>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</si>
  <si>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</si>
  <si>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</si>
  <si>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</si>
  <si>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</si>
  <si>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</si>
  <si>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</si>
  <si>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</si>
  <si>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</si>
  <si>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</si>
  <si>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</si>
  <si>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</si>
  <si>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</si>
  <si>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</si>
  <si>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</si>
  <si>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</si>
  <si>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</si>
  <si>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</si>
  <si>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</si>
  <si>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</si>
  <si>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</si>
  <si>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</si>
  <si>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</si>
  <si>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</si>
  <si>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</si>
  <si>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</si>
  <si>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</si>
  <si>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</si>
  <si>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</si>
  <si>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</si>
  <si>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</si>
  <si>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</si>
  <si>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</si>
  <si>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</si>
  <si>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</si>
  <si>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</si>
  <si>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</si>
  <si>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</si>
  <si>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</si>
  <si>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</si>
  <si>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</si>
  <si>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</si>
  <si>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</si>
  <si>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</si>
  <si>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</si>
  <si>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</si>
  <si>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</si>
  <si>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</si>
  <si>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</si>
  <si>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</si>
  <si>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</si>
  <si>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</si>
  <si>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</si>
  <si>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</si>
  <si>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</si>
  <si>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</si>
  <si>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</si>
  <si>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</si>
  <si>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</si>
  <si>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</si>
  <si>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</si>
  <si>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</si>
  <si>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</si>
  <si>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</si>
  <si>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</si>
  <si>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</si>
  <si>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</si>
  <si>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</si>
  <si>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</si>
  <si>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</si>
  <si>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</si>
  <si>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</si>
  <si>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</si>
  <si>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</si>
  <si>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</si>
  <si>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</si>
  <si>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</si>
  <si>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</si>
  <si>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</si>
  <si>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</si>
  <si>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</si>
  <si>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</si>
  <si>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</si>
  <si>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</si>
  <si>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</si>
  <si>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</si>
  <si>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</si>
  <si>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</si>
  <si>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</si>
  <si>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</si>
  <si>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</si>
  <si>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</si>
  <si>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</si>
  <si>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</si>
  <si>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</si>
  <si>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</si>
  <si>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</si>
  <si>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</si>
  <si>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</si>
  <si>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</si>
  <si>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</si>
  <si>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</si>
  <si>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</si>
  <si>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</si>
  <si>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</si>
  <si>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</si>
  <si>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</si>
  <si>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</si>
  <si>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</si>
  <si>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</si>
  <si>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</si>
  <si>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</si>
  <si>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</si>
  <si>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</si>
  <si>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</si>
  <si>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</si>
  <si>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</si>
  <si>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</si>
  <si>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</si>
  <si>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</si>
  <si>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</si>
  <si>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</si>
  <si>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</si>
  <si>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</si>
  <si>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</si>
  <si>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</si>
  <si>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</si>
  <si>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</si>
  <si>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</si>
  <si>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</si>
  <si>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</si>
  <si>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</si>
  <si>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</si>
  <si>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</si>
  <si>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</si>
  <si>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</si>
  <si>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</si>
  <si>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</si>
  <si>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</si>
  <si>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</si>
  <si>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</si>
  <si>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</si>
  <si>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</si>
  <si>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</si>
  <si>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</si>
  <si>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</si>
  <si>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</si>
  <si>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</si>
  <si>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</si>
  <si>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</si>
  <si>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</si>
  <si>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</si>
  <si>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</si>
  <si>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</si>
  <si>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</si>
  <si>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</si>
  <si>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</si>
  <si>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</si>
  <si>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</si>
  <si>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</si>
  <si>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</si>
  <si>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</si>
  <si>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</si>
  <si>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</si>
  <si>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</si>
  <si>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</si>
  <si>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</si>
  <si>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</si>
  <si>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</si>
  <si>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</si>
  <si>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</si>
  <si>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</si>
  <si>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</si>
  <si>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</si>
  <si>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</si>
  <si>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Bun Chansokunthea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</si>
  <si>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</si>
  <si>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</si>
  <si>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</si>
  <si>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</si>
  <si>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</si>
  <si>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</si>
  <si>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</si>
  <si>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</si>
  <si>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</si>
  <si>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</si>
  <si>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</si>
  <si>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</si>
  <si>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</si>
  <si>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</si>
  <si>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</si>
  <si>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</si>
  <si>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</si>
  <si>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</si>
  <si>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</si>
  <si>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</si>
  <si>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</si>
  <si>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</si>
  <si>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</si>
  <si>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</si>
  <si>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</si>
  <si>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</si>
  <si>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</si>
  <si>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</si>
  <si>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</si>
  <si>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</si>
  <si>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</si>
  <si>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</si>
  <si>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</si>
  <si>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</si>
  <si>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</si>
  <si>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</si>
  <si>
    <t>នាយក​សាលា​បឋម​អនុវត្តន៍</t>
  </si>
  <si>
    <t>នាយិការង​សាលា​បឋម​អនុវត្តន៍</t>
  </si>
  <si>
    <t>គ្រូបឋមសិក្សា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</si>
</sst>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5"/>
  <sheetViews>
    <sheetView tabSelected="1" workbookViewId="0">
      <selection activeCell="F125" sqref="F125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bestFit="1" customWidth="1"/>
    <col min="6" max="6" width="31.6328125" style="3" bestFit="1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402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f>A2+1</f>
        <v>2</v>
      </c>
      <c r="B3" s="1" t="s">
        <v>403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f t="shared" ref="A4:A90" si="0">A3+1</f>
        <v>3</v>
      </c>
      <c r="B4" s="1" t="s">
        <v>403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f t="shared" si="0"/>
        <v>4</v>
      </c>
      <c r="B5" s="1" t="s">
        <v>142</v>
      </c>
      <c r="D5" s="1">
        <f>$A$3</f>
        <v>2</v>
      </c>
      <c r="E5" s="1" t="s">
        <v>143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f t="shared" si="0"/>
        <v>5</v>
      </c>
      <c r="B6" s="1" t="s">
        <v>142</v>
      </c>
      <c r="D6" s="1">
        <f t="shared" ref="D6:D7" si="1">$A$3</f>
        <v>2</v>
      </c>
      <c r="E6" s="1" t="s">
        <v>143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f t="shared" si="0"/>
        <v>6</v>
      </c>
      <c r="B7" s="1" t="s">
        <v>142</v>
      </c>
      <c r="D7" s="1">
        <f t="shared" si="1"/>
        <v>2</v>
      </c>
      <c r="E7" s="1" t="s">
        <v>143</v>
      </c>
      <c r="F7" s="3">
        <f>INDEX(people!$A$2:$A$125, MATCH(G7,people!$B$2:$B$125, 0))</f>
        <v>1931000087</v>
      </c>
      <c r="G7" s="1" t="s">
        <v>112</v>
      </c>
    </row>
    <row r="8" spans="1:7" x14ac:dyDescent="0.6">
      <c r="A8" s="2">
        <f t="shared" si="0"/>
        <v>7</v>
      </c>
      <c r="B8" s="1" t="s">
        <v>142</v>
      </c>
      <c r="D8" s="1">
        <f>$A$4</f>
        <v>3</v>
      </c>
      <c r="E8" s="1" t="s">
        <v>143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f t="shared" si="0"/>
        <v>8</v>
      </c>
      <c r="B9" s="1" t="s">
        <v>142</v>
      </c>
      <c r="D9" s="1">
        <f t="shared" ref="D9:D11" si="2">$A$4</f>
        <v>3</v>
      </c>
      <c r="E9" s="1" t="s">
        <v>143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f t="shared" si="0"/>
        <v>9</v>
      </c>
      <c r="B10" s="1" t="s">
        <v>142</v>
      </c>
      <c r="D10" s="1">
        <f t="shared" si="2"/>
        <v>3</v>
      </c>
      <c r="E10" s="1" t="s">
        <v>143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f t="shared" si="0"/>
        <v>10</v>
      </c>
      <c r="B11" s="1" t="s">
        <v>142</v>
      </c>
      <c r="D11" s="1">
        <f t="shared" si="2"/>
        <v>3</v>
      </c>
      <c r="E11" s="1" t="s">
        <v>143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f t="shared" si="0"/>
        <v>11</v>
      </c>
      <c r="B12" s="1" t="s">
        <v>809</v>
      </c>
      <c r="D12" s="1">
        <f>A3</f>
        <v>2</v>
      </c>
      <c r="E12" s="1" t="s">
        <v>8</v>
      </c>
      <c r="F12" s="3">
        <f>INDEX(people!$A$2:$A$125, MATCH(G12,people!$B$2:$B$125, 0))</f>
        <v>1720300297</v>
      </c>
      <c r="G12" s="1" t="s">
        <v>120</v>
      </c>
    </row>
    <row r="13" spans="1:7" x14ac:dyDescent="0.6">
      <c r="A13" s="2">
        <f t="shared" si="0"/>
        <v>12</v>
      </c>
      <c r="B13" s="1" t="s">
        <v>810</v>
      </c>
      <c r="D13" s="1">
        <f>A12</f>
        <v>11</v>
      </c>
      <c r="E13" s="1" t="s">
        <v>8</v>
      </c>
      <c r="F13" s="3">
        <f>INDEX(people!$A$2:$A$125, MATCH(G13,people!$B$2:$B$125, 0))</f>
        <v>2740300117</v>
      </c>
      <c r="G13" s="1" t="s">
        <v>121</v>
      </c>
    </row>
    <row r="14" spans="1:7" x14ac:dyDescent="0.6">
      <c r="A14" s="2">
        <f t="shared" si="0"/>
        <v>13</v>
      </c>
      <c r="B14" s="1" t="s">
        <v>811</v>
      </c>
      <c r="D14" s="1">
        <f>$A$13</f>
        <v>12</v>
      </c>
      <c r="E14" s="1" t="s">
        <v>8</v>
      </c>
      <c r="F14" s="3">
        <f>INDEX(people!$A$2:$A$125, MATCH(G14,people!$B$2:$B$125, 0))</f>
        <v>2980300142</v>
      </c>
      <c r="G14" s="1" t="s">
        <v>122</v>
      </c>
    </row>
    <row r="15" spans="1:7" x14ac:dyDescent="0.6">
      <c r="A15" s="2">
        <f t="shared" si="0"/>
        <v>14</v>
      </c>
      <c r="B15" s="1" t="s">
        <v>811</v>
      </c>
      <c r="D15" s="1">
        <f>$A$13</f>
        <v>12</v>
      </c>
      <c r="E15" s="1" t="s">
        <v>8</v>
      </c>
      <c r="F15" s="3">
        <f>INDEX(people!$A$2:$A$125, MATCH(G15,people!$B$2:$B$125, 0))</f>
        <v>1750300287</v>
      </c>
      <c r="G15" s="1" t="s">
        <v>123</v>
      </c>
    </row>
    <row r="16" spans="1:7" x14ac:dyDescent="0.6">
      <c r="A16" s="2">
        <f t="shared" si="0"/>
        <v>15</v>
      </c>
      <c r="B16" s="1" t="s">
        <v>811</v>
      </c>
      <c r="D16" s="1">
        <f>$A$13</f>
        <v>12</v>
      </c>
      <c r="E16" s="1" t="s">
        <v>8</v>
      </c>
      <c r="F16" s="3">
        <f>INDEX(people!$A$2:$A$125, MATCH(G16,people!$B$2:$B$125, 0))</f>
        <v>2760300055</v>
      </c>
      <c r="G16" s="1" t="s">
        <v>124</v>
      </c>
    </row>
    <row r="17" spans="1:7" x14ac:dyDescent="0.6">
      <c r="A17" s="2">
        <f t="shared" si="0"/>
        <v>16</v>
      </c>
      <c r="B17" s="1" t="s">
        <v>811</v>
      </c>
      <c r="D17" s="1">
        <f>$A$13</f>
        <v>12</v>
      </c>
      <c r="E17" s="1" t="s">
        <v>8</v>
      </c>
      <c r="F17" s="3">
        <f>INDEX(people!$A$2:$A$125, MATCH(G17,people!$B$2:$B$125, 0))</f>
        <v>2780300025</v>
      </c>
      <c r="G17" s="1" t="s">
        <v>125</v>
      </c>
    </row>
    <row r="18" spans="1:7" x14ac:dyDescent="0.6">
      <c r="A18" s="2">
        <f t="shared" si="0"/>
        <v>17</v>
      </c>
      <c r="B18" s="1" t="s">
        <v>811</v>
      </c>
      <c r="D18" s="1">
        <f>$A$13</f>
        <v>12</v>
      </c>
      <c r="E18" s="1" t="s">
        <v>8</v>
      </c>
      <c r="F18" s="3">
        <f>INDEX(people!$A$2:$A$125, MATCH(G18,people!$B$2:$B$125, 0))</f>
        <v>2820300159</v>
      </c>
      <c r="G18" s="1" t="s">
        <v>126</v>
      </c>
    </row>
    <row r="19" spans="1:7" x14ac:dyDescent="0.6">
      <c r="A19" s="2">
        <f t="shared" si="0"/>
        <v>18</v>
      </c>
      <c r="B19" s="1" t="s">
        <v>811</v>
      </c>
      <c r="D19" s="1">
        <f>$A$13</f>
        <v>12</v>
      </c>
      <c r="E19" s="1" t="s">
        <v>8</v>
      </c>
      <c r="F19" s="3">
        <f>INDEX(people!$A$2:$A$125, MATCH(G19,people!$B$2:$B$125, 0))</f>
        <v>1850300039</v>
      </c>
      <c r="G19" s="1" t="s">
        <v>127</v>
      </c>
    </row>
    <row r="20" spans="1:7" x14ac:dyDescent="0.6">
      <c r="A20" s="2">
        <f t="shared" si="0"/>
        <v>19</v>
      </c>
      <c r="B20" s="1" t="s">
        <v>811</v>
      </c>
      <c r="D20" s="1">
        <f>$A$13</f>
        <v>12</v>
      </c>
      <c r="E20" s="1" t="s">
        <v>8</v>
      </c>
      <c r="F20" s="3">
        <f>INDEX(people!$A$2:$A$125, MATCH(G20,people!$B$2:$B$125, 0))</f>
        <v>2860300021</v>
      </c>
      <c r="G20" s="1" t="s">
        <v>128</v>
      </c>
    </row>
    <row r="21" spans="1:7" x14ac:dyDescent="0.6">
      <c r="A21" s="2">
        <f t="shared" si="0"/>
        <v>20</v>
      </c>
      <c r="B21" s="1" t="s">
        <v>811</v>
      </c>
      <c r="D21" s="1">
        <f>$A$13</f>
        <v>12</v>
      </c>
      <c r="E21" s="1" t="s">
        <v>8</v>
      </c>
      <c r="F21" s="3">
        <f>INDEX(people!$A$2:$A$125, MATCH(G21,people!$B$2:$B$125, 0))</f>
        <v>1870300055</v>
      </c>
      <c r="G21" s="1" t="s">
        <v>129</v>
      </c>
    </row>
    <row r="22" spans="1:7" x14ac:dyDescent="0.6">
      <c r="A22" s="2">
        <f t="shared" si="0"/>
        <v>21</v>
      </c>
      <c r="B22" s="1" t="s">
        <v>811</v>
      </c>
      <c r="D22" s="1">
        <f>$A$13</f>
        <v>12</v>
      </c>
      <c r="E22" s="1" t="s">
        <v>8</v>
      </c>
      <c r="F22" s="3">
        <f>INDEX(people!$A$2:$A$125, MATCH(G22,people!$B$2:$B$125, 0))</f>
        <v>1680300329</v>
      </c>
      <c r="G22" s="1" t="s">
        <v>130</v>
      </c>
    </row>
    <row r="23" spans="1:7" x14ac:dyDescent="0.6">
      <c r="A23" s="2">
        <f t="shared" si="0"/>
        <v>22</v>
      </c>
      <c r="B23" s="1" t="s">
        <v>811</v>
      </c>
      <c r="D23" s="1">
        <f>$A$13</f>
        <v>12</v>
      </c>
      <c r="E23" s="1" t="s">
        <v>8</v>
      </c>
      <c r="F23" s="3">
        <f>INDEX(people!$A$2:$A$125, MATCH(G23,people!$B$2:$B$125, 0))</f>
        <v>2910300192</v>
      </c>
      <c r="G23" s="1" t="s">
        <v>131</v>
      </c>
    </row>
    <row r="24" spans="1:7" x14ac:dyDescent="0.6">
      <c r="A24" s="2">
        <f t="shared" si="0"/>
        <v>23</v>
      </c>
      <c r="B24" s="1" t="s">
        <v>811</v>
      </c>
      <c r="D24" s="1">
        <f>$A$13</f>
        <v>12</v>
      </c>
      <c r="E24" s="1" t="s">
        <v>8</v>
      </c>
      <c r="F24" s="3">
        <f>INDEX(people!$A$2:$A$125, MATCH(G24,people!$B$2:$B$125, 0))</f>
        <v>2940300006</v>
      </c>
      <c r="G24" s="1" t="s">
        <v>132</v>
      </c>
    </row>
    <row r="25" spans="1:7" x14ac:dyDescent="0.6">
      <c r="A25" s="2">
        <f t="shared" si="0"/>
        <v>24</v>
      </c>
      <c r="B25" s="1" t="s">
        <v>811</v>
      </c>
      <c r="D25" s="1">
        <f>$A$13</f>
        <v>12</v>
      </c>
      <c r="E25" s="1" t="s">
        <v>8</v>
      </c>
      <c r="F25" s="3">
        <f>INDEX(people!$A$2:$A$125, MATCH(G25,people!$B$2:$B$125, 0))</f>
        <v>1930300052</v>
      </c>
      <c r="G25" s="1" t="s">
        <v>133</v>
      </c>
    </row>
    <row r="26" spans="1:7" x14ac:dyDescent="0.6">
      <c r="A26" s="2">
        <f t="shared" si="0"/>
        <v>25</v>
      </c>
      <c r="B26" s="1" t="s">
        <v>811</v>
      </c>
      <c r="D26" s="1">
        <f>$A$13</f>
        <v>12</v>
      </c>
      <c r="E26" s="1" t="s">
        <v>8</v>
      </c>
      <c r="F26" s="3">
        <f>INDEX(people!$A$2:$A$125, MATCH(G26,people!$B$2:$B$125, 0))</f>
        <v>2981400029</v>
      </c>
      <c r="G26" s="1" t="s">
        <v>134</v>
      </c>
    </row>
    <row r="27" spans="1:7" x14ac:dyDescent="0.6">
      <c r="A27" s="2">
        <f t="shared" si="0"/>
        <v>26</v>
      </c>
      <c r="B27" s="1" t="s">
        <v>811</v>
      </c>
      <c r="D27" s="1">
        <f>$A$13</f>
        <v>12</v>
      </c>
      <c r="E27" s="1" t="s">
        <v>8</v>
      </c>
      <c r="F27" s="3">
        <f>INDEX(people!$A$2:$A$125, MATCH(G27,people!$B$2:$B$125, 0))</f>
        <v>2960300101</v>
      </c>
      <c r="G27" s="1" t="s">
        <v>135</v>
      </c>
    </row>
    <row r="28" spans="1:7" x14ac:dyDescent="0.6">
      <c r="A28" s="2">
        <f t="shared" si="0"/>
        <v>27</v>
      </c>
      <c r="B28" s="1" t="s">
        <v>811</v>
      </c>
      <c r="D28" s="1">
        <f>$A$13</f>
        <v>12</v>
      </c>
      <c r="E28" s="1" t="s">
        <v>8</v>
      </c>
      <c r="F28" s="3">
        <f>INDEX(people!$A$2:$A$125, MATCH(G28,people!$B$2:$B$125, 0))</f>
        <v>1980300018</v>
      </c>
      <c r="G28" s="1" t="s">
        <v>136</v>
      </c>
    </row>
    <row r="29" spans="1:7" x14ac:dyDescent="0.6">
      <c r="A29" s="2">
        <f t="shared" si="0"/>
        <v>28</v>
      </c>
      <c r="B29" s="1" t="s">
        <v>811</v>
      </c>
      <c r="D29" s="1">
        <f>$A$13</f>
        <v>12</v>
      </c>
      <c r="E29" s="1" t="s">
        <v>8</v>
      </c>
      <c r="F29" s="3">
        <f>INDEX(people!$A$2:$A$125, MATCH(G29,people!$B$2:$B$125, 0))</f>
        <v>2980300044</v>
      </c>
      <c r="G29" s="1" t="s">
        <v>137</v>
      </c>
    </row>
    <row r="30" spans="1:7" x14ac:dyDescent="0.6">
      <c r="A30" s="2">
        <f t="shared" si="0"/>
        <v>29</v>
      </c>
      <c r="B30" s="1" t="s">
        <v>811</v>
      </c>
      <c r="D30" s="1">
        <f>$A$13</f>
        <v>12</v>
      </c>
      <c r="E30" s="1" t="s">
        <v>8</v>
      </c>
      <c r="F30" s="3">
        <f>INDEX(people!$A$2:$A$125, MATCH(G30,people!$B$2:$B$125, 0))</f>
        <v>1960300052</v>
      </c>
      <c r="G30" s="1" t="s">
        <v>138</v>
      </c>
    </row>
    <row r="31" spans="1:7" x14ac:dyDescent="0.6">
      <c r="A31" s="2">
        <f t="shared" si="0"/>
        <v>30</v>
      </c>
      <c r="B31" s="1" t="s">
        <v>811</v>
      </c>
      <c r="D31" s="1">
        <f>$A$13</f>
        <v>12</v>
      </c>
      <c r="E31" s="1" t="s">
        <v>8</v>
      </c>
      <c r="F31" s="3">
        <f>INDEX(people!$A$2:$A$125, MATCH(G31,people!$B$2:$B$125, 0))</f>
        <v>2960300120</v>
      </c>
      <c r="G31" s="1" t="s">
        <v>139</v>
      </c>
    </row>
    <row r="32" spans="1:7" x14ac:dyDescent="0.6">
      <c r="A32" s="2">
        <f t="shared" si="0"/>
        <v>31</v>
      </c>
      <c r="B32" s="1" t="s">
        <v>404</v>
      </c>
      <c r="C32" s="1" t="s">
        <v>7</v>
      </c>
      <c r="D32" s="1">
        <f>A3</f>
        <v>2</v>
      </c>
      <c r="E32" s="1" t="s">
        <v>8</v>
      </c>
      <c r="F32" s="3">
        <f>INDEX(people!$A$2:$A$125, MATCH(G32,people!$B$2:$B$125, 0))</f>
        <v>2680300182</v>
      </c>
      <c r="G32" s="1" t="s">
        <v>108</v>
      </c>
    </row>
    <row r="33" spans="1:7" x14ac:dyDescent="0.6">
      <c r="A33" s="2">
        <f t="shared" si="0"/>
        <v>32</v>
      </c>
      <c r="B33" s="1" t="s">
        <v>405</v>
      </c>
      <c r="C33" s="1" t="s">
        <v>7</v>
      </c>
      <c r="D33" s="1">
        <f>A32</f>
        <v>31</v>
      </c>
      <c r="E33" s="1" t="s">
        <v>8</v>
      </c>
      <c r="F33" s="3">
        <f>INDEX(people!$A$2:$A$125, MATCH(G33,people!$B$2:$B$125, 0))</f>
        <v>1960300210</v>
      </c>
      <c r="G33" s="1" t="s">
        <v>113</v>
      </c>
    </row>
    <row r="34" spans="1:7" x14ac:dyDescent="0.6">
      <c r="A34" s="2">
        <f t="shared" si="0"/>
        <v>33</v>
      </c>
      <c r="B34" s="1" t="s">
        <v>141</v>
      </c>
      <c r="D34" s="1">
        <f>A33</f>
        <v>32</v>
      </c>
      <c r="E34" s="1" t="s">
        <v>8</v>
      </c>
      <c r="F34" s="3">
        <f>INDEX(people!$A$2:$A$125, MATCH(G34,people!$B$2:$B$125, 0))</f>
        <v>1680300331</v>
      </c>
      <c r="G34" s="1" t="s">
        <v>23</v>
      </c>
    </row>
    <row r="35" spans="1:7" x14ac:dyDescent="0.6">
      <c r="A35" s="2">
        <f t="shared" si="0"/>
        <v>34</v>
      </c>
      <c r="B35" s="1" t="s">
        <v>141</v>
      </c>
      <c r="D35" s="1">
        <f>A33</f>
        <v>32</v>
      </c>
      <c r="E35" s="1" t="s">
        <v>8</v>
      </c>
      <c r="F35" s="3">
        <f>INDEX(people!$A$2:$A$125, MATCH(G35,people!$B$2:$B$125, 0))</f>
        <v>2800300234</v>
      </c>
      <c r="G35" s="1" t="s">
        <v>116</v>
      </c>
    </row>
    <row r="36" spans="1:7" x14ac:dyDescent="0.6">
      <c r="A36" s="2">
        <f t="shared" si="0"/>
        <v>35</v>
      </c>
      <c r="B36" s="1" t="s">
        <v>141</v>
      </c>
      <c r="D36" s="1">
        <f>A33</f>
        <v>32</v>
      </c>
      <c r="E36" s="1" t="s">
        <v>8</v>
      </c>
      <c r="F36" s="3">
        <f>INDEX(people!$A$2:$A$125, MATCH(G36,people!$B$2:$B$125, 0))</f>
        <v>1680300355</v>
      </c>
      <c r="G36" s="1" t="s">
        <v>114</v>
      </c>
    </row>
    <row r="37" spans="1:7" x14ac:dyDescent="0.6">
      <c r="A37" s="2">
        <f t="shared" si="0"/>
        <v>36</v>
      </c>
      <c r="B37" s="1" t="s">
        <v>141</v>
      </c>
      <c r="D37" s="1">
        <f>A33</f>
        <v>32</v>
      </c>
      <c r="E37" s="1" t="s">
        <v>8</v>
      </c>
      <c r="F37" s="3">
        <f>INDEX(people!$A$2:$A$125, MATCH(G37,people!$B$2:$B$125, 0))</f>
        <v>2800300061</v>
      </c>
      <c r="G37" s="1" t="s">
        <v>97</v>
      </c>
    </row>
    <row r="38" spans="1:7" x14ac:dyDescent="0.6">
      <c r="A38" s="2">
        <f t="shared" si="0"/>
        <v>37</v>
      </c>
      <c r="B38" s="1" t="s">
        <v>141</v>
      </c>
      <c r="D38" s="1">
        <f>A33</f>
        <v>32</v>
      </c>
      <c r="E38" s="1" t="s">
        <v>8</v>
      </c>
      <c r="F38" s="3">
        <f>INDEX(people!$A$2:$A$125, MATCH(G38,people!$B$2:$B$125, 0))</f>
        <v>100001</v>
      </c>
      <c r="G38" s="1" t="s">
        <v>119</v>
      </c>
    </row>
    <row r="39" spans="1:7" x14ac:dyDescent="0.6">
      <c r="A39" s="2">
        <f t="shared" si="0"/>
        <v>38</v>
      </c>
      <c r="B39" s="1" t="s">
        <v>141</v>
      </c>
      <c r="D39" s="1">
        <f>A33</f>
        <v>32</v>
      </c>
      <c r="E39" s="1" t="s">
        <v>8</v>
      </c>
      <c r="F39" s="3">
        <f>INDEX(people!$A$2:$A$125, MATCH(G39,people!$B$2:$B$125, 0))</f>
        <v>100002</v>
      </c>
      <c r="G39" s="1" t="s">
        <v>140</v>
      </c>
    </row>
    <row r="40" spans="1:7" x14ac:dyDescent="0.6">
      <c r="A40" s="2">
        <f t="shared" si="0"/>
        <v>39</v>
      </c>
      <c r="B40" s="1" t="s">
        <v>406</v>
      </c>
      <c r="D40" s="1">
        <f>A3</f>
        <v>2</v>
      </c>
      <c r="E40" s="1" t="s">
        <v>8</v>
      </c>
      <c r="F40" s="3">
        <f>INDEX(people!$A$2:$A$125, MATCH(G40,people!$B$2:$B$125, 0))</f>
        <v>1800300530</v>
      </c>
      <c r="G40" s="1" t="s">
        <v>21</v>
      </c>
    </row>
    <row r="41" spans="1:7" x14ac:dyDescent="0.6">
      <c r="A41" s="2">
        <f t="shared" si="0"/>
        <v>40</v>
      </c>
      <c r="B41" s="1" t="s">
        <v>407</v>
      </c>
      <c r="D41" s="1">
        <f>A40</f>
        <v>39</v>
      </c>
      <c r="E41" s="1" t="s">
        <v>8</v>
      </c>
      <c r="F41" s="3">
        <f>INDEX(people!$A$2:$A$125, MATCH(G41,people!$B$2:$B$125, 0))</f>
        <v>1860300283</v>
      </c>
      <c r="G41" s="1" t="s">
        <v>690</v>
      </c>
    </row>
    <row r="42" spans="1:7" x14ac:dyDescent="0.6">
      <c r="A42" s="2">
        <f t="shared" si="0"/>
        <v>41</v>
      </c>
      <c r="B42" s="1" t="s">
        <v>141</v>
      </c>
      <c r="D42" s="1">
        <f>$A$41</f>
        <v>40</v>
      </c>
      <c r="E42" s="1" t="s">
        <v>8</v>
      </c>
      <c r="F42" s="3">
        <f>INDEX(people!$A$2:$A$125, MATCH(G42,people!$B$2:$B$125, 0))</f>
        <v>1920300193</v>
      </c>
      <c r="G42" s="1" t="s">
        <v>52</v>
      </c>
    </row>
    <row r="43" spans="1:7" x14ac:dyDescent="0.6">
      <c r="A43" s="2">
        <f t="shared" si="0"/>
        <v>42</v>
      </c>
      <c r="B43" s="1" t="s">
        <v>141</v>
      </c>
      <c r="D43" s="1">
        <f t="shared" ref="D43:D46" si="3">$A$41</f>
        <v>40</v>
      </c>
      <c r="E43" s="1" t="s">
        <v>8</v>
      </c>
      <c r="F43" s="3">
        <f>INDEX(people!$A$2:$A$125, MATCH(G43,people!$B$2:$B$125, 0))</f>
        <v>1690300349</v>
      </c>
      <c r="G43" s="1" t="s">
        <v>109</v>
      </c>
    </row>
    <row r="44" spans="1:7" x14ac:dyDescent="0.6">
      <c r="A44" s="2">
        <f t="shared" si="0"/>
        <v>43</v>
      </c>
      <c r="B44" s="1" t="s">
        <v>141</v>
      </c>
      <c r="D44" s="1">
        <f t="shared" si="3"/>
        <v>40</v>
      </c>
      <c r="E44" s="1" t="s">
        <v>8</v>
      </c>
      <c r="F44" s="3">
        <f>INDEX(people!$A$2:$A$125, MATCH(G44,people!$B$2:$B$125, 0))</f>
        <v>2680300154</v>
      </c>
      <c r="G44" s="1" t="s">
        <v>22</v>
      </c>
    </row>
    <row r="45" spans="1:7" x14ac:dyDescent="0.6">
      <c r="A45" s="2">
        <f t="shared" si="0"/>
        <v>44</v>
      </c>
      <c r="B45" s="1" t="s">
        <v>141</v>
      </c>
      <c r="D45" s="1">
        <f t="shared" si="3"/>
        <v>40</v>
      </c>
      <c r="E45" s="1" t="s">
        <v>8</v>
      </c>
      <c r="F45" s="3">
        <f>INDEX(people!$A$2:$A$125, MATCH(G45,people!$B$2:$B$125, 0))</f>
        <v>2980300364</v>
      </c>
      <c r="G45" s="1" t="s">
        <v>41</v>
      </c>
    </row>
    <row r="46" spans="1:7" x14ac:dyDescent="0.6">
      <c r="A46" s="2">
        <f t="shared" si="0"/>
        <v>45</v>
      </c>
      <c r="B46" s="1" t="s">
        <v>141</v>
      </c>
      <c r="D46" s="1">
        <f t="shared" si="3"/>
        <v>40</v>
      </c>
      <c r="E46" s="1" t="s">
        <v>8</v>
      </c>
      <c r="F46" s="3">
        <f>INDEX(people!$A$2:$A$125, MATCH(G46,people!$B$2:$B$125, 0))</f>
        <v>1830300210</v>
      </c>
      <c r="G46" s="1" t="s">
        <v>44</v>
      </c>
    </row>
    <row r="47" spans="1:7" x14ac:dyDescent="0.6">
      <c r="A47" s="2">
        <f t="shared" si="0"/>
        <v>46</v>
      </c>
      <c r="B47" s="1" t="s">
        <v>408</v>
      </c>
      <c r="D47" s="1">
        <f>A4</f>
        <v>3</v>
      </c>
      <c r="E47" s="1" t="s">
        <v>8</v>
      </c>
      <c r="F47" s="3">
        <f>INDEX(people!$A$2:$A$125, MATCH(G47,people!$B$2:$B$125, 0))</f>
        <v>1750300438</v>
      </c>
      <c r="G47" s="1" t="s">
        <v>24</v>
      </c>
    </row>
    <row r="48" spans="1:7" x14ac:dyDescent="0.6">
      <c r="A48" s="2">
        <f t="shared" si="0"/>
        <v>47</v>
      </c>
      <c r="B48" s="1" t="s">
        <v>409</v>
      </c>
      <c r="D48" s="1">
        <f>A47</f>
        <v>46</v>
      </c>
      <c r="E48" s="1" t="s">
        <v>8</v>
      </c>
      <c r="F48" s="3">
        <f>INDEX(people!$A$2:$A$125, MATCH(G48,people!$B$2:$B$125, 0))</f>
        <v>1890700240</v>
      </c>
      <c r="G48" s="1" t="s">
        <v>31</v>
      </c>
    </row>
    <row r="49" spans="1:7" x14ac:dyDescent="0.6">
      <c r="A49" s="2">
        <f t="shared" si="0"/>
        <v>48</v>
      </c>
      <c r="B49" s="1" t="s">
        <v>409</v>
      </c>
      <c r="D49" s="1">
        <f>A47</f>
        <v>46</v>
      </c>
      <c r="E49" s="1" t="s">
        <v>8</v>
      </c>
      <c r="F49" s="3">
        <f>INDEX(people!$A$2:$A$125, MATCH(G49,people!$B$2:$B$125, 0))</f>
        <v>1831200363</v>
      </c>
      <c r="G49" s="1" t="s">
        <v>82</v>
      </c>
    </row>
    <row r="50" spans="1:7" x14ac:dyDescent="0.6">
      <c r="A50" s="2">
        <f t="shared" si="0"/>
        <v>49</v>
      </c>
      <c r="B50" s="1" t="s">
        <v>141</v>
      </c>
      <c r="D50" s="1">
        <f>A48</f>
        <v>47</v>
      </c>
      <c r="E50" s="1" t="s">
        <v>8</v>
      </c>
      <c r="F50" s="3">
        <f>INDEX(people!$A$2:$A$125, MATCH(G50,people!$B$2:$B$125, 0))</f>
        <v>1690300603</v>
      </c>
      <c r="G50" s="1" t="s">
        <v>107</v>
      </c>
    </row>
    <row r="51" spans="1:7" x14ac:dyDescent="0.6">
      <c r="A51" s="2">
        <f t="shared" si="0"/>
        <v>50</v>
      </c>
      <c r="B51" s="1" t="s">
        <v>141</v>
      </c>
      <c r="D51" s="1">
        <f>$A$49</f>
        <v>48</v>
      </c>
      <c r="E51" s="1" t="s">
        <v>8</v>
      </c>
      <c r="F51" s="3">
        <f>INDEX(people!$A$2:$A$125, MATCH(G51,people!$B$2:$B$125, 0))</f>
        <v>2720300109</v>
      </c>
      <c r="G51" s="1" t="s">
        <v>27</v>
      </c>
    </row>
    <row r="52" spans="1:7" x14ac:dyDescent="0.6">
      <c r="A52" s="2">
        <f t="shared" si="0"/>
        <v>51</v>
      </c>
      <c r="B52" s="1" t="s">
        <v>141</v>
      </c>
      <c r="D52" s="1">
        <f t="shared" ref="D52:D54" si="4">$A$49</f>
        <v>48</v>
      </c>
      <c r="E52" s="1" t="s">
        <v>8</v>
      </c>
      <c r="F52" s="3">
        <f>INDEX(people!$A$2:$A$125, MATCH(G52,people!$B$2:$B$125, 0))</f>
        <v>2670300101</v>
      </c>
      <c r="G52" s="1" t="s">
        <v>29</v>
      </c>
    </row>
    <row r="53" spans="1:7" x14ac:dyDescent="0.6">
      <c r="A53" s="2">
        <f t="shared" si="0"/>
        <v>52</v>
      </c>
      <c r="B53" s="1" t="s">
        <v>141</v>
      </c>
      <c r="D53" s="1">
        <f t="shared" si="4"/>
        <v>48</v>
      </c>
      <c r="E53" s="1" t="s">
        <v>8</v>
      </c>
      <c r="F53" s="3">
        <f>INDEX(people!$A$2:$A$125, MATCH(G53,people!$B$2:$B$125, 0))</f>
        <v>1660300189</v>
      </c>
      <c r="G53" s="1" t="s">
        <v>28</v>
      </c>
    </row>
    <row r="54" spans="1:7" x14ac:dyDescent="0.6">
      <c r="A54" s="2">
        <f t="shared" si="0"/>
        <v>53</v>
      </c>
      <c r="B54" s="1" t="s">
        <v>141</v>
      </c>
      <c r="D54" s="1">
        <f t="shared" si="4"/>
        <v>48</v>
      </c>
      <c r="E54" s="1" t="s">
        <v>8</v>
      </c>
      <c r="F54" s="3">
        <f>INDEX(people!$A$2:$A$125, MATCH(G54,people!$B$2:$B$125, 0))</f>
        <v>1790300234</v>
      </c>
      <c r="G54" s="1" t="s">
        <v>25</v>
      </c>
    </row>
    <row r="55" spans="1:7" x14ac:dyDescent="0.6">
      <c r="A55" s="2">
        <f t="shared" si="0"/>
        <v>54</v>
      </c>
      <c r="B55" s="1" t="s">
        <v>410</v>
      </c>
      <c r="D55" s="1">
        <f>A4</f>
        <v>3</v>
      </c>
      <c r="E55" s="1" t="s">
        <v>8</v>
      </c>
      <c r="F55" s="3">
        <f>INDEX(people!$A$2:$A$125, MATCH(G55,people!$B$2:$B$125, 0))</f>
        <v>1830300209</v>
      </c>
      <c r="G55" s="1" t="s">
        <v>33</v>
      </c>
    </row>
    <row r="56" spans="1:7" x14ac:dyDescent="0.6">
      <c r="A56" s="2">
        <f t="shared" si="0"/>
        <v>55</v>
      </c>
      <c r="B56" s="1" t="s">
        <v>411</v>
      </c>
      <c r="D56" s="1">
        <f>A55</f>
        <v>54</v>
      </c>
      <c r="E56" s="1" t="s">
        <v>8</v>
      </c>
      <c r="F56" s="3">
        <f>INDEX(people!$A$2:$A$125, MATCH(G56,people!$B$2:$B$125, 0))</f>
        <v>1690300388</v>
      </c>
      <c r="G56" s="1" t="s">
        <v>95</v>
      </c>
    </row>
    <row r="57" spans="1:7" x14ac:dyDescent="0.6">
      <c r="A57" s="2">
        <f t="shared" si="0"/>
        <v>56</v>
      </c>
      <c r="B57" s="1" t="s">
        <v>412</v>
      </c>
      <c r="D57" s="1">
        <f>A47</f>
        <v>46</v>
      </c>
      <c r="E57" s="1" t="s">
        <v>8</v>
      </c>
      <c r="F57" s="3">
        <f>INDEX(people!$A$2:$A$125, MATCH(G57,people!$B$2:$B$125, 0))</f>
        <v>1820300233</v>
      </c>
      <c r="G57" s="1" t="s">
        <v>30</v>
      </c>
    </row>
    <row r="58" spans="1:7" x14ac:dyDescent="0.6">
      <c r="A58" s="2">
        <f t="shared" si="0"/>
        <v>57</v>
      </c>
      <c r="B58" s="1" t="s">
        <v>413</v>
      </c>
      <c r="D58" s="1">
        <f>A47</f>
        <v>46</v>
      </c>
      <c r="E58" s="1" t="s">
        <v>8</v>
      </c>
      <c r="F58" s="3">
        <f>INDEX(people!$A$2:$A$125, MATCH(G58,people!$B$2:$B$125, 0))</f>
        <v>1670300249</v>
      </c>
      <c r="G58" s="1" t="s">
        <v>55</v>
      </c>
    </row>
    <row r="59" spans="1:7" x14ac:dyDescent="0.6">
      <c r="A59" s="2">
        <f t="shared" si="0"/>
        <v>58</v>
      </c>
      <c r="B59" s="1" t="s">
        <v>415</v>
      </c>
      <c r="D59" s="1">
        <f>$A$58</f>
        <v>57</v>
      </c>
      <c r="E59" s="1" t="s">
        <v>8</v>
      </c>
      <c r="F59" s="3">
        <f>INDEX(people!$A$2:$A$125, MATCH(G59,people!$B$2:$B$125, 0))</f>
        <v>1820300058</v>
      </c>
      <c r="G59" s="1" t="s">
        <v>60</v>
      </c>
    </row>
    <row r="60" spans="1:7" x14ac:dyDescent="0.6">
      <c r="A60" s="2">
        <f t="shared" si="0"/>
        <v>59</v>
      </c>
      <c r="B60" s="1" t="s">
        <v>432</v>
      </c>
      <c r="D60" s="1">
        <f t="shared" ref="D60:D63" si="5">$A$58</f>
        <v>57</v>
      </c>
      <c r="E60" s="1" t="s">
        <v>8</v>
      </c>
      <c r="F60" s="3">
        <f>INDEX(people!$A$2:$A$125, MATCH(G60,people!$B$2:$B$125, 0))</f>
        <v>2890300162</v>
      </c>
      <c r="G60" s="1" t="s">
        <v>47</v>
      </c>
    </row>
    <row r="61" spans="1:7" x14ac:dyDescent="0.6">
      <c r="A61" s="2">
        <f t="shared" si="0"/>
        <v>60</v>
      </c>
      <c r="B61" s="1" t="s">
        <v>416</v>
      </c>
      <c r="D61" s="1">
        <f t="shared" si="5"/>
        <v>57</v>
      </c>
      <c r="E61" s="1" t="s">
        <v>8</v>
      </c>
      <c r="F61" s="3">
        <f>INDEX(people!$A$2:$A$125, MATCH(G61,people!$B$2:$B$125, 0))</f>
        <v>1850300085</v>
      </c>
      <c r="G61" s="1" t="s">
        <v>88</v>
      </c>
    </row>
    <row r="62" spans="1:7" x14ac:dyDescent="0.6">
      <c r="A62" s="2">
        <f t="shared" si="0"/>
        <v>61</v>
      </c>
      <c r="B62" s="1" t="s">
        <v>417</v>
      </c>
      <c r="D62" s="1">
        <f t="shared" si="5"/>
        <v>57</v>
      </c>
      <c r="E62" s="1" t="s">
        <v>8</v>
      </c>
      <c r="F62" s="3">
        <f>INDEX(people!$A$2:$A$125, MATCH(G62,people!$B$2:$B$125, 0))</f>
        <v>1872100269</v>
      </c>
      <c r="G62" s="1" t="s">
        <v>65</v>
      </c>
    </row>
    <row r="63" spans="1:7" x14ac:dyDescent="0.6">
      <c r="A63" s="2">
        <f t="shared" si="0"/>
        <v>62</v>
      </c>
      <c r="B63" s="1" t="s">
        <v>418</v>
      </c>
      <c r="D63" s="1">
        <f t="shared" si="5"/>
        <v>57</v>
      </c>
      <c r="E63" s="1" t="s">
        <v>8</v>
      </c>
      <c r="F63" s="3">
        <f>INDEX(people!$A$2:$A$125, MATCH(G63,people!$B$2:$B$125, 0))</f>
        <v>1930700107</v>
      </c>
      <c r="G63" s="1" t="s">
        <v>76</v>
      </c>
    </row>
    <row r="64" spans="1:7" x14ac:dyDescent="0.6">
      <c r="A64" s="2">
        <f t="shared" si="0"/>
        <v>63</v>
      </c>
      <c r="B64" s="1" t="s">
        <v>414</v>
      </c>
      <c r="D64" s="1">
        <f>A47</f>
        <v>46</v>
      </c>
      <c r="E64" s="1" t="s">
        <v>8</v>
      </c>
      <c r="F64" s="3">
        <f>INDEX(people!$A$2:$A$125, MATCH(G64,people!$B$2:$B$125, 0))</f>
        <v>1920300331</v>
      </c>
      <c r="G64" s="1" t="s">
        <v>69</v>
      </c>
    </row>
    <row r="65" spans="1:7" x14ac:dyDescent="0.6">
      <c r="A65" s="2">
        <f t="shared" si="0"/>
        <v>64</v>
      </c>
      <c r="B65" s="1" t="s">
        <v>419</v>
      </c>
      <c r="D65" s="1">
        <f>$A$64</f>
        <v>63</v>
      </c>
      <c r="E65" s="1" t="s">
        <v>8</v>
      </c>
      <c r="F65" s="3">
        <f>INDEX(people!$A$2:$A$125, MATCH(G65,people!$B$2:$B$125, 0))</f>
        <v>1904800001</v>
      </c>
      <c r="G65" s="1" t="s">
        <v>70</v>
      </c>
    </row>
    <row r="66" spans="1:7" x14ac:dyDescent="0.6">
      <c r="A66" s="2">
        <f t="shared" si="0"/>
        <v>65</v>
      </c>
      <c r="B66" s="1" t="s">
        <v>420</v>
      </c>
      <c r="D66" s="1">
        <f t="shared" ref="D66:D67" si="6">$A$64</f>
        <v>63</v>
      </c>
      <c r="E66" s="1" t="s">
        <v>8</v>
      </c>
      <c r="F66" s="3">
        <f>INDEX(people!$A$2:$A$125, MATCH(G66,people!$B$2:$B$125, 0))</f>
        <v>2930300307</v>
      </c>
      <c r="G66" s="1" t="s">
        <v>54</v>
      </c>
    </row>
    <row r="67" spans="1:7" x14ac:dyDescent="0.6">
      <c r="A67" s="2">
        <f t="shared" si="0"/>
        <v>66</v>
      </c>
      <c r="B67" s="1" t="s">
        <v>418</v>
      </c>
      <c r="D67" s="1">
        <f t="shared" si="6"/>
        <v>63</v>
      </c>
      <c r="E67" s="1" t="s">
        <v>8</v>
      </c>
      <c r="F67" s="3">
        <f>INDEX(people!$A$2:$A$125, MATCH(G67,people!$B$2:$B$125, 0))</f>
        <v>2820300049</v>
      </c>
      <c r="G67" s="1" t="s">
        <v>26</v>
      </c>
    </row>
    <row r="68" spans="1:7" x14ac:dyDescent="0.6">
      <c r="A68" s="2">
        <f t="shared" si="0"/>
        <v>67</v>
      </c>
      <c r="B68" s="1" t="s">
        <v>421</v>
      </c>
      <c r="D68" s="1">
        <f>A57</f>
        <v>56</v>
      </c>
      <c r="E68" s="1" t="s">
        <v>8</v>
      </c>
      <c r="F68" s="3">
        <f>INDEX(people!$A$2:$A$125, MATCH(G68,people!$B$2:$B$125, 0))</f>
        <v>1901200129</v>
      </c>
      <c r="G68" s="1" t="s">
        <v>84</v>
      </c>
    </row>
    <row r="69" spans="1:7" x14ac:dyDescent="0.6">
      <c r="A69" s="2">
        <f t="shared" si="0"/>
        <v>68</v>
      </c>
      <c r="B69" s="1" t="s">
        <v>422</v>
      </c>
      <c r="D69" s="1">
        <f>A57</f>
        <v>56</v>
      </c>
      <c r="E69" s="1" t="s">
        <v>8</v>
      </c>
      <c r="F69" s="3">
        <f>INDEX(people!$A$2:$A$125, MATCH(G69,people!$B$2:$B$125, 0))</f>
        <v>1840300188</v>
      </c>
      <c r="G69" s="1" t="s">
        <v>38</v>
      </c>
    </row>
    <row r="70" spans="1:7" x14ac:dyDescent="0.6">
      <c r="A70" s="2">
        <f t="shared" si="0"/>
        <v>69</v>
      </c>
      <c r="B70" s="1" t="s">
        <v>423</v>
      </c>
      <c r="D70" s="1">
        <f>$A$68</f>
        <v>67</v>
      </c>
      <c r="E70" s="1" t="s">
        <v>143</v>
      </c>
      <c r="F70" s="3">
        <f>INDEX(people!$A$2:$A$125, MATCH(G70,people!$B$2:$B$125, 0))</f>
        <v>1990300147</v>
      </c>
      <c r="G70" s="1" t="s">
        <v>118</v>
      </c>
    </row>
    <row r="71" spans="1:7" x14ac:dyDescent="0.6">
      <c r="A71" s="2">
        <f t="shared" si="0"/>
        <v>70</v>
      </c>
      <c r="B71" s="1" t="s">
        <v>423</v>
      </c>
      <c r="D71" s="1">
        <f t="shared" ref="D71:D74" si="7">$A$68</f>
        <v>67</v>
      </c>
      <c r="E71" s="1" t="s">
        <v>143</v>
      </c>
      <c r="F71" s="3">
        <f>INDEX(people!$A$2:$A$125, MATCH(G71,people!$B$2:$B$125, 0))</f>
        <v>2870300243</v>
      </c>
      <c r="G71" s="1" t="s">
        <v>32</v>
      </c>
    </row>
    <row r="72" spans="1:7" x14ac:dyDescent="0.6">
      <c r="A72" s="2">
        <f t="shared" si="0"/>
        <v>71</v>
      </c>
      <c r="B72" s="1" t="s">
        <v>144</v>
      </c>
      <c r="D72" s="1">
        <f t="shared" si="7"/>
        <v>67</v>
      </c>
      <c r="E72" s="1" t="s">
        <v>8</v>
      </c>
      <c r="F72" s="3">
        <f>INDEX(people!$A$2:$A$125, MATCH(G72,people!$B$2:$B$125, 0))</f>
        <v>1690300322</v>
      </c>
      <c r="G72" s="1" t="s">
        <v>99</v>
      </c>
    </row>
    <row r="73" spans="1:7" x14ac:dyDescent="0.6">
      <c r="A73" s="2">
        <f t="shared" si="0"/>
        <v>72</v>
      </c>
      <c r="B73" s="1" t="s">
        <v>144</v>
      </c>
      <c r="D73" s="1">
        <f t="shared" si="7"/>
        <v>67</v>
      </c>
      <c r="E73" s="1" t="s">
        <v>8</v>
      </c>
      <c r="F73" s="3">
        <f>INDEX(people!$A$2:$A$125, MATCH(G73,people!$B$2:$B$125, 0))</f>
        <v>1690300442</v>
      </c>
      <c r="G73" s="1" t="s">
        <v>96</v>
      </c>
    </row>
    <row r="74" spans="1:7" x14ac:dyDescent="0.6">
      <c r="A74" s="2">
        <f t="shared" si="0"/>
        <v>73</v>
      </c>
      <c r="B74" s="1" t="s">
        <v>144</v>
      </c>
      <c r="D74" s="1">
        <f t="shared" si="7"/>
        <v>67</v>
      </c>
      <c r="E74" s="1" t="s">
        <v>8</v>
      </c>
      <c r="F74" s="3">
        <f>INDEX(people!$A$2:$A$125, MATCH(G74,people!$B$2:$B$125, 0))</f>
        <v>2820300034</v>
      </c>
      <c r="G74" s="1" t="s">
        <v>115</v>
      </c>
    </row>
    <row r="75" spans="1:7" x14ac:dyDescent="0.6">
      <c r="A75" s="2">
        <f t="shared" si="0"/>
        <v>74</v>
      </c>
      <c r="B75" s="1" t="s">
        <v>424</v>
      </c>
      <c r="D75" s="1">
        <f t="shared" ref="D75:D82" si="8">$A$69</f>
        <v>68</v>
      </c>
      <c r="E75" s="1" t="s">
        <v>143</v>
      </c>
      <c r="F75" s="3">
        <f>INDEX(people!$A$2:$A$125, MATCH(G75,people!$B$2:$B$125, 0))</f>
        <v>2900300246</v>
      </c>
      <c r="G75" s="1" t="s">
        <v>36</v>
      </c>
    </row>
    <row r="76" spans="1:7" x14ac:dyDescent="0.6">
      <c r="A76" s="2">
        <f t="shared" si="0"/>
        <v>75</v>
      </c>
      <c r="B76" s="1" t="s">
        <v>424</v>
      </c>
      <c r="D76" s="1">
        <f t="shared" si="8"/>
        <v>68</v>
      </c>
      <c r="E76" s="1" t="s">
        <v>143</v>
      </c>
      <c r="F76" s="3">
        <f>INDEX(people!$A$2:$A$125, MATCH(G76,people!$B$2:$B$125, 0))</f>
        <v>2871400116</v>
      </c>
      <c r="G76" s="1" t="s">
        <v>89</v>
      </c>
    </row>
    <row r="77" spans="1:7" x14ac:dyDescent="0.6">
      <c r="A77" s="2">
        <f t="shared" si="0"/>
        <v>76</v>
      </c>
      <c r="B77" s="1" t="s">
        <v>145</v>
      </c>
      <c r="D77" s="1">
        <f t="shared" si="8"/>
        <v>68</v>
      </c>
      <c r="E77" s="1" t="s">
        <v>8</v>
      </c>
      <c r="F77" s="3">
        <f>INDEX(people!$A$2:$A$125, MATCH(G77,people!$B$2:$B$125, 0))</f>
        <v>2870300253</v>
      </c>
      <c r="G77" s="1" t="s">
        <v>35</v>
      </c>
    </row>
    <row r="78" spans="1:7" x14ac:dyDescent="0.6">
      <c r="A78" s="2">
        <f t="shared" si="0"/>
        <v>77</v>
      </c>
      <c r="B78" s="1" t="s">
        <v>145</v>
      </c>
      <c r="D78" s="1">
        <f t="shared" si="8"/>
        <v>68</v>
      </c>
      <c r="E78" s="1" t="s">
        <v>8</v>
      </c>
      <c r="F78" s="3">
        <f>INDEX(people!$A$2:$A$125, MATCH(G78,people!$B$2:$B$125, 0))</f>
        <v>2990300274</v>
      </c>
      <c r="G78" s="1" t="s">
        <v>37</v>
      </c>
    </row>
    <row r="79" spans="1:7" x14ac:dyDescent="0.6">
      <c r="A79" s="2">
        <f t="shared" si="0"/>
        <v>78</v>
      </c>
      <c r="B79" s="1" t="s">
        <v>145</v>
      </c>
      <c r="D79" s="1">
        <f t="shared" si="8"/>
        <v>68</v>
      </c>
      <c r="E79" s="1" t="s">
        <v>8</v>
      </c>
      <c r="F79" s="3">
        <f>INDEX(people!$A$2:$A$125, MATCH(G79,people!$B$2:$B$125, 0))</f>
        <v>2870300157</v>
      </c>
      <c r="G79" s="1" t="s">
        <v>105</v>
      </c>
    </row>
    <row r="80" spans="1:7" x14ac:dyDescent="0.6">
      <c r="A80" s="2">
        <f t="shared" si="0"/>
        <v>79</v>
      </c>
      <c r="B80" s="1" t="s">
        <v>145</v>
      </c>
      <c r="D80" s="1">
        <f t="shared" si="8"/>
        <v>68</v>
      </c>
      <c r="E80" s="1" t="s">
        <v>8</v>
      </c>
      <c r="F80" s="3">
        <f>INDEX(people!$A$2:$A$125, MATCH(G80,people!$B$2:$B$125, 0))</f>
        <v>2680300173</v>
      </c>
      <c r="G80" s="1" t="s">
        <v>81</v>
      </c>
    </row>
    <row r="81" spans="1:7" x14ac:dyDescent="0.6">
      <c r="A81" s="2">
        <f t="shared" si="0"/>
        <v>80</v>
      </c>
      <c r="B81" s="1" t="s">
        <v>145</v>
      </c>
      <c r="D81" s="1">
        <f t="shared" si="8"/>
        <v>68</v>
      </c>
      <c r="E81" s="1" t="s">
        <v>8</v>
      </c>
      <c r="F81" s="3">
        <f>INDEX(people!$A$2:$A$125, MATCH(G81,people!$B$2:$B$125, 0))</f>
        <v>2810300213</v>
      </c>
      <c r="G81" s="1" t="s">
        <v>39</v>
      </c>
    </row>
    <row r="82" spans="1:7" x14ac:dyDescent="0.6">
      <c r="A82" s="2">
        <f t="shared" si="0"/>
        <v>81</v>
      </c>
      <c r="B82" s="1" t="s">
        <v>145</v>
      </c>
      <c r="D82" s="1">
        <f t="shared" si="8"/>
        <v>68</v>
      </c>
      <c r="E82" s="1" t="s">
        <v>8</v>
      </c>
      <c r="F82" s="3">
        <f>INDEX(people!$A$2:$A$125, MATCH(G82,people!$B$2:$B$125, 0))</f>
        <v>2930300439</v>
      </c>
      <c r="G82" s="1" t="s">
        <v>34</v>
      </c>
    </row>
    <row r="83" spans="1:7" x14ac:dyDescent="0.6">
      <c r="A83" s="2">
        <f t="shared" si="0"/>
        <v>82</v>
      </c>
      <c r="B83" s="1" t="s">
        <v>425</v>
      </c>
      <c r="D83" s="1">
        <f>$A$59</f>
        <v>58</v>
      </c>
      <c r="E83" s="1" t="s">
        <v>143</v>
      </c>
      <c r="F83" s="3">
        <f>INDEX(people!$A$2:$A$125, MATCH(G83,people!$B$2:$B$125, 0))</f>
        <v>2800300262</v>
      </c>
      <c r="G83" s="1" t="s">
        <v>57</v>
      </c>
    </row>
    <row r="84" spans="1:7" x14ac:dyDescent="0.6">
      <c r="A84" s="2">
        <f t="shared" si="0"/>
        <v>83</v>
      </c>
      <c r="B84" s="1" t="s">
        <v>425</v>
      </c>
      <c r="D84" s="1">
        <f t="shared" ref="D84:D93" si="9">$A$59</f>
        <v>58</v>
      </c>
      <c r="E84" s="1" t="s">
        <v>143</v>
      </c>
      <c r="F84" s="3">
        <f>INDEX(people!$A$2:$A$125, MATCH(G84,people!$B$2:$B$125, 0))</f>
        <v>2830300017</v>
      </c>
      <c r="G84" s="1" t="s">
        <v>83</v>
      </c>
    </row>
    <row r="85" spans="1:7" x14ac:dyDescent="0.6">
      <c r="A85" s="2">
        <f t="shared" si="0"/>
        <v>84</v>
      </c>
      <c r="B85" s="1" t="s">
        <v>146</v>
      </c>
      <c r="D85" s="1">
        <f t="shared" si="9"/>
        <v>58</v>
      </c>
      <c r="E85" s="1" t="s">
        <v>8</v>
      </c>
      <c r="F85" s="3">
        <f>INDEX(people!$A$2:$A$125, MATCH(G85,people!$B$2:$B$125, 0))</f>
        <v>2750300112</v>
      </c>
      <c r="G85" s="1" t="s">
        <v>56</v>
      </c>
    </row>
    <row r="86" spans="1:7" x14ac:dyDescent="0.6">
      <c r="A86" s="2">
        <f t="shared" si="0"/>
        <v>85</v>
      </c>
      <c r="B86" s="1" t="s">
        <v>146</v>
      </c>
      <c r="D86" s="1">
        <f t="shared" si="9"/>
        <v>58</v>
      </c>
      <c r="E86" s="1" t="s">
        <v>8</v>
      </c>
      <c r="F86" s="3">
        <f>INDEX(people!$A$2:$A$125, MATCH(G86,people!$B$2:$B$125, 0))</f>
        <v>1840300118</v>
      </c>
      <c r="G86" s="1" t="s">
        <v>58</v>
      </c>
    </row>
    <row r="87" spans="1:7" x14ac:dyDescent="0.6">
      <c r="A87" s="2">
        <f t="shared" si="0"/>
        <v>86</v>
      </c>
      <c r="B87" s="1" t="s">
        <v>146</v>
      </c>
      <c r="D87" s="1">
        <f t="shared" si="9"/>
        <v>58</v>
      </c>
      <c r="E87" s="1" t="s">
        <v>8</v>
      </c>
      <c r="F87" s="3">
        <f>INDEX(people!$A$2:$A$125, MATCH(G87,people!$B$2:$B$125, 0))</f>
        <v>1840600176</v>
      </c>
      <c r="G87" s="1" t="s">
        <v>59</v>
      </c>
    </row>
    <row r="88" spans="1:7" x14ac:dyDescent="0.6">
      <c r="A88" s="2">
        <f t="shared" si="0"/>
        <v>87</v>
      </c>
      <c r="B88" s="1" t="s">
        <v>146</v>
      </c>
      <c r="D88" s="1">
        <f t="shared" si="9"/>
        <v>58</v>
      </c>
      <c r="E88" s="1" t="s">
        <v>8</v>
      </c>
      <c r="F88" s="3">
        <f>INDEX(people!$A$2:$A$125, MATCH(G88,people!$B$2:$B$125, 0))</f>
        <v>1710300321</v>
      </c>
      <c r="G88" s="1" t="s">
        <v>61</v>
      </c>
    </row>
    <row r="89" spans="1:7" x14ac:dyDescent="0.6">
      <c r="A89" s="2">
        <f t="shared" si="0"/>
        <v>88</v>
      </c>
      <c r="B89" s="1" t="s">
        <v>146</v>
      </c>
      <c r="D89" s="1">
        <f t="shared" si="9"/>
        <v>58</v>
      </c>
      <c r="E89" s="1" t="s">
        <v>8</v>
      </c>
      <c r="F89" s="3">
        <f>INDEX(people!$A$2:$A$125, MATCH(G89,people!$B$2:$B$125, 0))</f>
        <v>1820300041</v>
      </c>
      <c r="G89" s="1" t="s">
        <v>62</v>
      </c>
    </row>
    <row r="90" spans="1:7" x14ac:dyDescent="0.6">
      <c r="A90" s="2">
        <f t="shared" si="0"/>
        <v>89</v>
      </c>
      <c r="B90" s="1" t="s">
        <v>146</v>
      </c>
      <c r="D90" s="1">
        <f t="shared" si="9"/>
        <v>58</v>
      </c>
      <c r="E90" s="1" t="s">
        <v>8</v>
      </c>
      <c r="F90" s="3">
        <f>INDEX(people!$A$2:$A$125, MATCH(G90,people!$B$2:$B$125, 0))</f>
        <v>2820300165</v>
      </c>
      <c r="G90" s="1" t="s">
        <v>63</v>
      </c>
    </row>
    <row r="91" spans="1:7" x14ac:dyDescent="0.6">
      <c r="A91" s="2">
        <f t="shared" ref="A91:A125" si="10">A90+1</f>
        <v>90</v>
      </c>
      <c r="B91" s="1" t="s">
        <v>146</v>
      </c>
      <c r="D91" s="1">
        <f t="shared" si="9"/>
        <v>58</v>
      </c>
      <c r="E91" s="1" t="s">
        <v>8</v>
      </c>
      <c r="F91" s="3">
        <f>INDEX(people!$A$2:$A$125, MATCH(G91,people!$B$2:$B$125, 0))</f>
        <v>1680300327</v>
      </c>
      <c r="G91" s="1" t="s">
        <v>74</v>
      </c>
    </row>
    <row r="92" spans="1:7" x14ac:dyDescent="0.6">
      <c r="A92" s="2">
        <f t="shared" si="10"/>
        <v>91</v>
      </c>
      <c r="B92" s="1" t="s">
        <v>146</v>
      </c>
      <c r="D92" s="1">
        <f t="shared" si="9"/>
        <v>58</v>
      </c>
      <c r="E92" s="1" t="s">
        <v>8</v>
      </c>
      <c r="F92" s="3">
        <f>INDEX(people!$A$2:$A$125, MATCH(G92,people!$B$2:$B$125, 0))</f>
        <v>2780300027</v>
      </c>
      <c r="G92" s="1" t="s">
        <v>101</v>
      </c>
    </row>
    <row r="93" spans="1:7" x14ac:dyDescent="0.6">
      <c r="A93" s="2">
        <f t="shared" si="10"/>
        <v>92</v>
      </c>
      <c r="B93" s="1" t="s">
        <v>146</v>
      </c>
      <c r="D93" s="1">
        <f t="shared" si="9"/>
        <v>58</v>
      </c>
      <c r="E93" s="1" t="s">
        <v>8</v>
      </c>
      <c r="F93" s="3">
        <f>INDEX(people!$A$2:$A$125, MATCH(G93,people!$B$2:$B$125, 0))</f>
        <v>2810300025</v>
      </c>
      <c r="G93" s="1" t="s">
        <v>102</v>
      </c>
    </row>
    <row r="94" spans="1:7" x14ac:dyDescent="0.6">
      <c r="A94" s="2">
        <f t="shared" si="10"/>
        <v>93</v>
      </c>
      <c r="B94" s="1" t="s">
        <v>426</v>
      </c>
      <c r="D94" s="1">
        <f>$A$60</f>
        <v>59</v>
      </c>
      <c r="E94" s="1" t="s">
        <v>143</v>
      </c>
      <c r="F94" s="3">
        <f>INDEX(people!$A$2:$A$125, MATCH(G94,people!$B$2:$B$125, 0))</f>
        <v>1730300800</v>
      </c>
      <c r="G94" s="1" t="s">
        <v>46</v>
      </c>
    </row>
    <row r="95" spans="1:7" x14ac:dyDescent="0.6">
      <c r="A95" s="2">
        <f t="shared" si="10"/>
        <v>94</v>
      </c>
      <c r="B95" s="1" t="s">
        <v>426</v>
      </c>
      <c r="D95" s="1">
        <f t="shared" ref="D95:D100" si="11">$A$60</f>
        <v>59</v>
      </c>
      <c r="E95" s="1" t="s">
        <v>143</v>
      </c>
      <c r="F95" s="3">
        <f>INDEX(people!$A$2:$A$125, MATCH(G95,people!$B$2:$B$125, 0))</f>
        <v>2900300321</v>
      </c>
      <c r="G95" s="1" t="s">
        <v>90</v>
      </c>
    </row>
    <row r="96" spans="1:7" x14ac:dyDescent="0.6">
      <c r="A96" s="2">
        <f t="shared" si="10"/>
        <v>95</v>
      </c>
      <c r="B96" s="1" t="s">
        <v>147</v>
      </c>
      <c r="D96" s="1">
        <f t="shared" si="11"/>
        <v>59</v>
      </c>
      <c r="E96" s="1" t="s">
        <v>8</v>
      </c>
      <c r="F96" s="3">
        <f>INDEX(people!$A$2:$A$125, MATCH(G96,people!$B$2:$B$125, 0))</f>
        <v>2820800126</v>
      </c>
      <c r="G96" s="1" t="s">
        <v>48</v>
      </c>
    </row>
    <row r="97" spans="1:7" x14ac:dyDescent="0.6">
      <c r="A97" s="2">
        <f t="shared" si="10"/>
        <v>96</v>
      </c>
      <c r="B97" s="1" t="s">
        <v>147</v>
      </c>
      <c r="D97" s="1">
        <f t="shared" si="11"/>
        <v>59</v>
      </c>
      <c r="E97" s="1" t="s">
        <v>8</v>
      </c>
      <c r="F97" s="3">
        <f>INDEX(people!$A$2:$A$125, MATCH(G97,people!$B$2:$B$125, 0))</f>
        <v>2670800184</v>
      </c>
      <c r="G97" s="1" t="s">
        <v>85</v>
      </c>
    </row>
    <row r="98" spans="1:7" x14ac:dyDescent="0.6">
      <c r="A98" s="2">
        <f t="shared" si="10"/>
        <v>97</v>
      </c>
      <c r="B98" s="1" t="s">
        <v>147</v>
      </c>
      <c r="D98" s="1">
        <f t="shared" si="11"/>
        <v>59</v>
      </c>
      <c r="E98" s="1" t="s">
        <v>8</v>
      </c>
      <c r="F98" s="3">
        <f>INDEX(people!$A$2:$A$125, MATCH(G98,people!$B$2:$B$125, 0))</f>
        <v>2700300301</v>
      </c>
      <c r="G98" s="1" t="s">
        <v>98</v>
      </c>
    </row>
    <row r="99" spans="1:7" x14ac:dyDescent="0.6">
      <c r="A99" s="2">
        <f t="shared" si="10"/>
        <v>98</v>
      </c>
      <c r="B99" s="1" t="s">
        <v>147</v>
      </c>
      <c r="D99" s="1">
        <f t="shared" si="11"/>
        <v>59</v>
      </c>
      <c r="E99" s="1" t="s">
        <v>8</v>
      </c>
      <c r="F99" s="3">
        <f>INDEX(people!$A$2:$A$125, MATCH(G99,people!$B$2:$B$125, 0))</f>
        <v>2830300078</v>
      </c>
      <c r="G99" s="1" t="s">
        <v>103</v>
      </c>
    </row>
    <row r="100" spans="1:7" x14ac:dyDescent="0.6">
      <c r="A100" s="2">
        <f t="shared" si="10"/>
        <v>99</v>
      </c>
      <c r="B100" s="1" t="s">
        <v>147</v>
      </c>
      <c r="D100" s="1">
        <f t="shared" si="11"/>
        <v>59</v>
      </c>
      <c r="E100" s="1" t="s">
        <v>8</v>
      </c>
      <c r="F100" s="3">
        <f>INDEX(people!$A$2:$A$125, MATCH(G100,people!$B$2:$B$125, 0))</f>
        <v>2910300165</v>
      </c>
      <c r="G100" s="1" t="s">
        <v>106</v>
      </c>
    </row>
    <row r="101" spans="1:7" x14ac:dyDescent="0.6">
      <c r="A101" s="2">
        <f t="shared" si="10"/>
        <v>100</v>
      </c>
      <c r="B101" s="1" t="s">
        <v>427</v>
      </c>
      <c r="D101" s="1">
        <f>$A$61</f>
        <v>60</v>
      </c>
      <c r="E101" s="1" t="s">
        <v>143</v>
      </c>
      <c r="F101" s="3">
        <f>INDEX(people!$A$2:$A$125, MATCH(G101,people!$B$2:$B$125, 0))</f>
        <v>2920300428</v>
      </c>
      <c r="G101" s="1" t="s">
        <v>50</v>
      </c>
    </row>
    <row r="102" spans="1:7" x14ac:dyDescent="0.6">
      <c r="A102" s="2">
        <f t="shared" si="10"/>
        <v>101</v>
      </c>
      <c r="B102" s="1" t="s">
        <v>427</v>
      </c>
      <c r="D102" s="1">
        <f t="shared" ref="D102:D111" si="12">$A$61</f>
        <v>60</v>
      </c>
      <c r="E102" s="1" t="s">
        <v>143</v>
      </c>
      <c r="F102" s="3">
        <f>INDEX(people!$A$2:$A$125, MATCH(G102,people!$B$2:$B$125, 0))</f>
        <v>1870300227</v>
      </c>
      <c r="G102" s="1" t="s">
        <v>45</v>
      </c>
    </row>
    <row r="103" spans="1:7" x14ac:dyDescent="0.6">
      <c r="A103" s="2">
        <f t="shared" si="10"/>
        <v>102</v>
      </c>
      <c r="B103" s="1" t="s">
        <v>148</v>
      </c>
      <c r="D103" s="1">
        <f t="shared" si="12"/>
        <v>60</v>
      </c>
      <c r="E103" s="1" t="s">
        <v>8</v>
      </c>
      <c r="F103" s="3">
        <f>INDEX(people!$A$2:$A$125, MATCH(G103,people!$B$2:$B$125, 0))</f>
        <v>1670800495</v>
      </c>
      <c r="G103" s="1" t="s">
        <v>42</v>
      </c>
    </row>
    <row r="104" spans="1:7" x14ac:dyDescent="0.6">
      <c r="A104" s="2">
        <f t="shared" si="10"/>
        <v>103</v>
      </c>
      <c r="B104" s="1" t="s">
        <v>148</v>
      </c>
      <c r="D104" s="1">
        <f t="shared" si="12"/>
        <v>60</v>
      </c>
      <c r="E104" s="1" t="s">
        <v>8</v>
      </c>
      <c r="F104" s="3">
        <f>INDEX(people!$A$2:$A$125, MATCH(G104,people!$B$2:$B$125, 0))</f>
        <v>2870300008</v>
      </c>
      <c r="G104" s="1" t="s">
        <v>91</v>
      </c>
    </row>
    <row r="105" spans="1:7" x14ac:dyDescent="0.6">
      <c r="A105" s="2">
        <f t="shared" si="10"/>
        <v>104</v>
      </c>
      <c r="B105" s="1" t="s">
        <v>148</v>
      </c>
      <c r="D105" s="1">
        <f t="shared" si="12"/>
        <v>60</v>
      </c>
      <c r="E105" s="1" t="s">
        <v>8</v>
      </c>
      <c r="F105" s="3">
        <f>INDEX(people!$A$2:$A$125, MATCH(G105,people!$B$2:$B$125, 0))</f>
        <v>2870600141</v>
      </c>
      <c r="G105" s="1" t="s">
        <v>51</v>
      </c>
    </row>
    <row r="106" spans="1:7" x14ac:dyDescent="0.6">
      <c r="A106" s="2">
        <f t="shared" si="10"/>
        <v>105</v>
      </c>
      <c r="B106" s="1" t="s">
        <v>148</v>
      </c>
      <c r="D106" s="1">
        <f t="shared" si="12"/>
        <v>60</v>
      </c>
      <c r="E106" s="1" t="s">
        <v>8</v>
      </c>
      <c r="F106" s="3">
        <f>INDEX(people!$A$2:$A$125, MATCH(G106,people!$B$2:$B$125, 0))</f>
        <v>2840300235</v>
      </c>
      <c r="G106" s="1" t="s">
        <v>73</v>
      </c>
    </row>
    <row r="107" spans="1:7" x14ac:dyDescent="0.6">
      <c r="A107" s="2">
        <f t="shared" si="10"/>
        <v>106</v>
      </c>
      <c r="B107" s="1" t="s">
        <v>148</v>
      </c>
      <c r="D107" s="1">
        <f t="shared" si="12"/>
        <v>60</v>
      </c>
      <c r="E107" s="1" t="s">
        <v>8</v>
      </c>
      <c r="F107" s="3">
        <f>INDEX(people!$A$2:$A$125, MATCH(G107,people!$B$2:$B$125, 0))</f>
        <v>1840300396</v>
      </c>
      <c r="G107" s="1" t="s">
        <v>86</v>
      </c>
    </row>
    <row r="108" spans="1:7" x14ac:dyDescent="0.6">
      <c r="A108" s="2">
        <f t="shared" si="10"/>
        <v>107</v>
      </c>
      <c r="B108" s="1" t="s">
        <v>148</v>
      </c>
      <c r="D108" s="1">
        <f t="shared" si="12"/>
        <v>60</v>
      </c>
      <c r="E108" s="1" t="s">
        <v>8</v>
      </c>
      <c r="F108" s="3">
        <f>INDEX(people!$A$2:$A$125, MATCH(G108,people!$B$2:$B$125, 0))</f>
        <v>1850800312</v>
      </c>
      <c r="G108" s="1" t="s">
        <v>87</v>
      </c>
    </row>
    <row r="109" spans="1:7" x14ac:dyDescent="0.6">
      <c r="A109" s="2">
        <f t="shared" si="10"/>
        <v>108</v>
      </c>
      <c r="B109" s="1" t="s">
        <v>148</v>
      </c>
      <c r="D109" s="1">
        <f t="shared" si="12"/>
        <v>60</v>
      </c>
      <c r="E109" s="1" t="s">
        <v>8</v>
      </c>
      <c r="F109" s="3">
        <f>INDEX(people!$A$2:$A$125, MATCH(G109,people!$B$2:$B$125, 0))</f>
        <v>1680300330</v>
      </c>
      <c r="G109" s="1" t="s">
        <v>49</v>
      </c>
    </row>
    <row r="110" spans="1:7" x14ac:dyDescent="0.6">
      <c r="A110" s="2">
        <f t="shared" si="10"/>
        <v>109</v>
      </c>
      <c r="B110" s="1" t="s">
        <v>148</v>
      </c>
      <c r="D110" s="1">
        <f t="shared" si="12"/>
        <v>60</v>
      </c>
      <c r="E110" s="1" t="s">
        <v>8</v>
      </c>
      <c r="F110" s="3">
        <f>INDEX(people!$A$2:$A$125, MATCH(G110,people!$B$2:$B$125, 0))</f>
        <v>1730500353</v>
      </c>
      <c r="G110" s="1" t="s">
        <v>75</v>
      </c>
    </row>
    <row r="111" spans="1:7" x14ac:dyDescent="0.6">
      <c r="A111" s="2">
        <f t="shared" si="10"/>
        <v>110</v>
      </c>
      <c r="B111" s="1" t="s">
        <v>148</v>
      </c>
      <c r="D111" s="1">
        <f t="shared" si="12"/>
        <v>60</v>
      </c>
      <c r="E111" s="1" t="s">
        <v>8</v>
      </c>
      <c r="F111" s="3">
        <f>INDEX(people!$A$2:$A$125, MATCH(G111,people!$B$2:$B$125, 0))</f>
        <v>2930300284</v>
      </c>
      <c r="G111" s="1" t="s">
        <v>110</v>
      </c>
    </row>
    <row r="112" spans="1:7" x14ac:dyDescent="0.6">
      <c r="A112" s="2">
        <f t="shared" si="10"/>
        <v>111</v>
      </c>
      <c r="B112" s="1" t="s">
        <v>428</v>
      </c>
      <c r="D112" s="1">
        <f>$A$62</f>
        <v>61</v>
      </c>
      <c r="E112" s="1" t="s">
        <v>143</v>
      </c>
      <c r="F112" s="3">
        <f>INDEX(people!$A$2:$A$125, MATCH(G112,people!$B$2:$B$125, 0))</f>
        <v>1821000140</v>
      </c>
      <c r="G112" s="1" t="s">
        <v>66</v>
      </c>
    </row>
    <row r="113" spans="1:7" x14ac:dyDescent="0.6">
      <c r="A113" s="2">
        <f t="shared" si="10"/>
        <v>112</v>
      </c>
      <c r="B113" s="1" t="s">
        <v>428</v>
      </c>
      <c r="D113" s="1">
        <f t="shared" ref="D113:D117" si="13">$A$62</f>
        <v>61</v>
      </c>
      <c r="E113" s="1" t="s">
        <v>143</v>
      </c>
      <c r="F113" s="3">
        <f>INDEX(people!$A$2:$A$125, MATCH(G113,people!$B$2:$B$125, 0))</f>
        <v>1901200130</v>
      </c>
      <c r="G113" s="1" t="s">
        <v>92</v>
      </c>
    </row>
    <row r="114" spans="1:7" x14ac:dyDescent="0.6">
      <c r="A114" s="2">
        <f t="shared" si="10"/>
        <v>113</v>
      </c>
      <c r="B114" s="1" t="s">
        <v>149</v>
      </c>
      <c r="D114" s="1">
        <f t="shared" si="13"/>
        <v>61</v>
      </c>
      <c r="E114" s="1" t="s">
        <v>8</v>
      </c>
      <c r="F114" s="3">
        <f>INDEX(people!$A$2:$A$125, MATCH(G114,people!$B$2:$B$125, 0))</f>
        <v>2702100269</v>
      </c>
      <c r="G114" s="1" t="s">
        <v>64</v>
      </c>
    </row>
    <row r="115" spans="1:7" x14ac:dyDescent="0.6">
      <c r="A115" s="2">
        <f t="shared" si="10"/>
        <v>114</v>
      </c>
      <c r="B115" s="1" t="s">
        <v>149</v>
      </c>
      <c r="D115" s="1">
        <f t="shared" si="13"/>
        <v>61</v>
      </c>
      <c r="E115" s="1" t="s">
        <v>8</v>
      </c>
      <c r="F115" s="3">
        <f>INDEX(people!$A$2:$A$125, MATCH(G115,people!$B$2:$B$125, 0))</f>
        <v>1860300387</v>
      </c>
      <c r="G115" s="1" t="s">
        <v>67</v>
      </c>
    </row>
    <row r="116" spans="1:7" x14ac:dyDescent="0.6">
      <c r="A116" s="2">
        <f t="shared" si="10"/>
        <v>115</v>
      </c>
      <c r="B116" s="1" t="s">
        <v>149</v>
      </c>
      <c r="D116" s="1">
        <f t="shared" si="13"/>
        <v>61</v>
      </c>
      <c r="E116" s="1" t="s">
        <v>8</v>
      </c>
      <c r="F116" s="3">
        <f>INDEX(people!$A$2:$A$125, MATCH(G116,people!$B$2:$B$125, 0))</f>
        <v>2910300320</v>
      </c>
      <c r="G116" s="1" t="s">
        <v>68</v>
      </c>
    </row>
    <row r="117" spans="1:7" x14ac:dyDescent="0.6">
      <c r="A117" s="2">
        <f t="shared" si="10"/>
        <v>116</v>
      </c>
      <c r="B117" s="1" t="s">
        <v>149</v>
      </c>
      <c r="D117" s="1">
        <f t="shared" si="13"/>
        <v>61</v>
      </c>
      <c r="E117" s="1" t="s">
        <v>8</v>
      </c>
      <c r="F117" s="3">
        <f>INDEX(people!$A$2:$A$125, MATCH(G117,people!$B$2:$B$125, 0))</f>
        <v>2860300359</v>
      </c>
      <c r="G117" s="1" t="s">
        <v>93</v>
      </c>
    </row>
    <row r="118" spans="1:7" x14ac:dyDescent="0.6">
      <c r="A118" s="2">
        <f t="shared" si="10"/>
        <v>117</v>
      </c>
      <c r="B118" s="1" t="s">
        <v>150</v>
      </c>
      <c r="D118" s="1">
        <f>$A$63</f>
        <v>62</v>
      </c>
      <c r="E118" s="1" t="s">
        <v>8</v>
      </c>
      <c r="F118" s="3">
        <f>INDEX(people!$A$2:$A$125, MATCH(G118,people!$B$2:$B$125, 0))</f>
        <v>1730300451</v>
      </c>
      <c r="G118" s="1" t="s">
        <v>100</v>
      </c>
    </row>
    <row r="119" spans="1:7" x14ac:dyDescent="0.6">
      <c r="A119" s="2">
        <f t="shared" si="10"/>
        <v>118</v>
      </c>
      <c r="B119" s="1" t="s">
        <v>150</v>
      </c>
      <c r="D119" s="1">
        <f>$A$63</f>
        <v>62</v>
      </c>
      <c r="E119" s="1" t="s">
        <v>8</v>
      </c>
      <c r="F119" s="3">
        <f>INDEX(people!$A$2:$A$125, MATCH(G119,people!$B$2:$B$125, 0))</f>
        <v>1942000040</v>
      </c>
      <c r="G119" s="1" t="s">
        <v>111</v>
      </c>
    </row>
    <row r="120" spans="1:7" x14ac:dyDescent="0.6">
      <c r="A120" s="2">
        <f t="shared" si="10"/>
        <v>119</v>
      </c>
      <c r="B120" s="1" t="s">
        <v>429</v>
      </c>
      <c r="D120" s="1">
        <f>$A$65</f>
        <v>64</v>
      </c>
      <c r="E120" s="1" t="s">
        <v>143</v>
      </c>
      <c r="F120" s="3">
        <f>INDEX(people!$A$2:$A$125, MATCH(G120,people!$B$2:$B$125, 0))</f>
        <v>2000300183</v>
      </c>
      <c r="G120" s="1" t="s">
        <v>117</v>
      </c>
    </row>
    <row r="121" spans="1:7" x14ac:dyDescent="0.6">
      <c r="A121" s="2">
        <f t="shared" si="10"/>
        <v>120</v>
      </c>
      <c r="B121" s="1" t="s">
        <v>401</v>
      </c>
      <c r="D121" s="1">
        <f t="shared" ref="D121:D122" si="14">$A$65</f>
        <v>64</v>
      </c>
      <c r="E121" s="1" t="s">
        <v>8</v>
      </c>
      <c r="F121" s="3">
        <f>INDEX(people!$A$2:$A$125, MATCH(G121,people!$B$2:$B$125, 0))</f>
        <v>1910800280</v>
      </c>
      <c r="G121" s="1" t="s">
        <v>71</v>
      </c>
    </row>
    <row r="122" spans="1:7" x14ac:dyDescent="0.6">
      <c r="A122" s="2">
        <f t="shared" si="10"/>
        <v>121</v>
      </c>
      <c r="B122" s="1" t="s">
        <v>401</v>
      </c>
      <c r="D122" s="1">
        <f t="shared" si="14"/>
        <v>64</v>
      </c>
      <c r="E122" s="1" t="s">
        <v>8</v>
      </c>
      <c r="F122" s="3">
        <f>INDEX(people!$A$2:$A$125, MATCH(G122,people!$B$2:$B$125, 0))</f>
        <v>1811400192</v>
      </c>
      <c r="G122" s="1" t="s">
        <v>72</v>
      </c>
    </row>
    <row r="123" spans="1:7" x14ac:dyDescent="0.6">
      <c r="A123" s="2">
        <f t="shared" si="10"/>
        <v>122</v>
      </c>
      <c r="B123" s="1" t="s">
        <v>430</v>
      </c>
      <c r="D123" s="1">
        <f>$A$66</f>
        <v>65</v>
      </c>
      <c r="E123" s="1" t="s">
        <v>143</v>
      </c>
      <c r="F123" s="3">
        <f>INDEX(people!$A$2:$A$125, MATCH(G123,people!$B$2:$B$125, 0))</f>
        <v>1870300100</v>
      </c>
      <c r="G123" s="1" t="s">
        <v>104</v>
      </c>
    </row>
    <row r="124" spans="1:7" x14ac:dyDescent="0.6">
      <c r="A124" s="2">
        <f t="shared" si="10"/>
        <v>123</v>
      </c>
      <c r="B124" s="1" t="s">
        <v>431</v>
      </c>
      <c r="D124" s="1">
        <f>$A$67</f>
        <v>66</v>
      </c>
      <c r="E124" s="1" t="s">
        <v>143</v>
      </c>
      <c r="F124" s="3">
        <f>INDEX(people!$A$2:$A$125, MATCH(G124,people!$B$2:$B$125, 0))</f>
        <v>1680300367</v>
      </c>
      <c r="G124" s="1" t="s">
        <v>80</v>
      </c>
    </row>
    <row r="125" spans="1:7" x14ac:dyDescent="0.6">
      <c r="A125" s="2">
        <f t="shared" si="10"/>
        <v>124</v>
      </c>
      <c r="B125" s="1" t="s">
        <v>151</v>
      </c>
      <c r="D125" s="1">
        <f>$A$67</f>
        <v>66</v>
      </c>
      <c r="E125" s="1" t="s">
        <v>8</v>
      </c>
      <c r="F125" s="3">
        <f>INDEX(people!$A$2:$A$125, MATCH(G125,people!$B$2:$B$125, 0))</f>
        <v>2680300175</v>
      </c>
      <c r="G125" s="1" t="s">
        <v>94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32 E3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5"/>
  <sheetViews>
    <sheetView zoomScale="104" zoomScaleNormal="104" workbookViewId="0">
      <selection activeCell="B11" sqref="B11"/>
    </sheetView>
  </sheetViews>
  <sheetFormatPr defaultRowHeight="17.2" x14ac:dyDescent="0.5"/>
  <cols>
    <col min="1" max="1" width="18.6328125" style="4" customWidth="1"/>
    <col min="2" max="2" width="35.26953125" customWidth="1"/>
    <col min="3" max="4" width="34.1796875" customWidth="1"/>
    <col min="5" max="5" width="8.08984375" style="6" customWidth="1"/>
    <col min="6" max="6" width="12.7265625" bestFit="1" customWidth="1"/>
    <col min="7" max="7" width="12.1796875" bestFit="1" customWidth="1"/>
    <col min="8" max="8" width="10.36328125" bestFit="1" customWidth="1"/>
    <col min="9" max="9" width="14.90625" bestFit="1" customWidth="1"/>
    <col min="10" max="10" width="12.1796875" bestFit="1" customWidth="1"/>
    <col min="11" max="11" width="8.90625" bestFit="1" customWidth="1"/>
    <col min="12" max="12" width="10.6328125" bestFit="1" customWidth="1"/>
  </cols>
  <sheetData>
    <row r="1" spans="1:12" x14ac:dyDescent="0.5">
      <c r="A1" s="4" t="s">
        <v>0</v>
      </c>
      <c r="B1" t="s">
        <v>1</v>
      </c>
      <c r="C1" t="s">
        <v>9</v>
      </c>
      <c r="D1" t="s">
        <v>152</v>
      </c>
      <c r="E1" s="6" t="s">
        <v>433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</row>
    <row r="2" spans="1:12" x14ac:dyDescent="0.5">
      <c r="A2" s="5">
        <v>1680300332</v>
      </c>
      <c r="B2" s="6" t="s">
        <v>17</v>
      </c>
      <c r="C2" t="s">
        <v>277</v>
      </c>
      <c r="D2" t="s">
        <v>153</v>
      </c>
      <c r="E2" s="6" t="s">
        <v>434</v>
      </c>
      <c r="F2" t="s">
        <v>7</v>
      </c>
      <c r="G2" t="str">
        <f>VLOOKUP(D2,data!$C$2:$U$103,5,FALSE)</f>
        <v>012 989 336</v>
      </c>
      <c r="H2" t="s">
        <v>7</v>
      </c>
      <c r="I2" t="s">
        <v>7</v>
      </c>
      <c r="J2" t="s">
        <v>7</v>
      </c>
      <c r="K2" t="s">
        <v>7</v>
      </c>
      <c r="L2" t="s">
        <v>7</v>
      </c>
    </row>
    <row r="3" spans="1:12" x14ac:dyDescent="0.5">
      <c r="A3" s="5" t="s">
        <v>18</v>
      </c>
      <c r="B3" s="6" t="s">
        <v>19</v>
      </c>
      <c r="C3" t="s">
        <v>278</v>
      </c>
      <c r="D3" t="s">
        <v>154</v>
      </c>
      <c r="E3" s="6" t="s">
        <v>434</v>
      </c>
      <c r="F3" t="s">
        <v>7</v>
      </c>
      <c r="G3" t="str">
        <f>VLOOKUP(D3,data!$C$2:$U$103,5,FALSE)</f>
        <v>016 720 128</v>
      </c>
      <c r="H3" t="s">
        <v>7</v>
      </c>
      <c r="I3" t="s">
        <v>7</v>
      </c>
      <c r="J3" t="s">
        <v>7</v>
      </c>
      <c r="K3" t="s">
        <v>7</v>
      </c>
      <c r="L3" t="s">
        <v>7</v>
      </c>
    </row>
    <row r="4" spans="1:12" x14ac:dyDescent="0.5">
      <c r="A4" s="5">
        <v>1710300275</v>
      </c>
      <c r="B4" s="6" t="s">
        <v>20</v>
      </c>
      <c r="C4" t="s">
        <v>279</v>
      </c>
      <c r="D4" t="s">
        <v>155</v>
      </c>
      <c r="E4" s="6" t="s">
        <v>434</v>
      </c>
      <c r="F4" t="s">
        <v>7</v>
      </c>
      <c r="G4" t="str">
        <f>VLOOKUP(D4,data!$C$2:$U$103,5,FALSE)</f>
        <v>012 218 911</v>
      </c>
      <c r="H4" t="s">
        <v>7</v>
      </c>
      <c r="I4" t="s">
        <v>7</v>
      </c>
      <c r="J4" t="s">
        <v>7</v>
      </c>
      <c r="K4" t="s">
        <v>7</v>
      </c>
      <c r="L4" t="s">
        <v>7</v>
      </c>
    </row>
    <row r="5" spans="1:12" x14ac:dyDescent="0.5">
      <c r="A5" s="5">
        <v>1800300530</v>
      </c>
      <c r="B5" s="6" t="s">
        <v>21</v>
      </c>
      <c r="C5" t="s">
        <v>280</v>
      </c>
      <c r="D5" t="s">
        <v>156</v>
      </c>
      <c r="E5" s="6" t="s">
        <v>434</v>
      </c>
      <c r="G5" t="str">
        <f>VLOOKUP(D5,data!$C$2:$U$103,5,FALSE)</f>
        <v>012 315 091</v>
      </c>
      <c r="H5" t="s">
        <v>7</v>
      </c>
      <c r="I5" t="s">
        <v>7</v>
      </c>
      <c r="J5" t="s">
        <v>7</v>
      </c>
      <c r="K5" t="s">
        <v>7</v>
      </c>
      <c r="L5" t="s">
        <v>7</v>
      </c>
    </row>
    <row r="6" spans="1:12" x14ac:dyDescent="0.5">
      <c r="A6" s="5">
        <v>2680300154</v>
      </c>
      <c r="B6" s="6" t="s">
        <v>22</v>
      </c>
      <c r="C6" t="s">
        <v>281</v>
      </c>
      <c r="D6" t="s">
        <v>157</v>
      </c>
      <c r="E6" s="6" t="s">
        <v>435</v>
      </c>
      <c r="F6" t="s">
        <v>7</v>
      </c>
      <c r="G6" t="str">
        <f>VLOOKUP(D6,data!$C$2:$U$103,5,FALSE)</f>
        <v>076 999 3832</v>
      </c>
      <c r="H6" t="s">
        <v>7</v>
      </c>
      <c r="I6" t="s">
        <v>7</v>
      </c>
      <c r="J6" t="s">
        <v>7</v>
      </c>
      <c r="K6" t="s">
        <v>7</v>
      </c>
      <c r="L6" t="s">
        <v>7</v>
      </c>
    </row>
    <row r="7" spans="1:12" x14ac:dyDescent="0.5">
      <c r="A7" s="5">
        <v>1680300331</v>
      </c>
      <c r="B7" s="6" t="s">
        <v>23</v>
      </c>
      <c r="C7" t="s">
        <v>282</v>
      </c>
      <c r="D7" t="s">
        <v>158</v>
      </c>
      <c r="E7" s="6" t="s">
        <v>434</v>
      </c>
      <c r="F7" t="s">
        <v>7</v>
      </c>
      <c r="G7" t="str">
        <f>VLOOKUP(D7,data!$C$2:$U$103,5,FALSE)</f>
        <v>099 880 110</v>
      </c>
      <c r="H7" t="s">
        <v>7</v>
      </c>
      <c r="I7" t="s">
        <v>7</v>
      </c>
      <c r="J7" t="s">
        <v>7</v>
      </c>
      <c r="K7" t="s">
        <v>7</v>
      </c>
      <c r="L7" t="s">
        <v>7</v>
      </c>
    </row>
    <row r="8" spans="1:12" x14ac:dyDescent="0.5">
      <c r="A8" s="5">
        <v>1750300438</v>
      </c>
      <c r="B8" s="6" t="s">
        <v>24</v>
      </c>
      <c r="C8" t="s">
        <v>283</v>
      </c>
      <c r="D8" t="s">
        <v>159</v>
      </c>
      <c r="E8" s="6" t="s">
        <v>434</v>
      </c>
      <c r="F8" t="s">
        <v>7</v>
      </c>
      <c r="G8" t="str">
        <f>VLOOKUP(D8,data!$C$2:$U$103,5,FALSE)</f>
        <v>092 689 922</v>
      </c>
      <c r="H8" t="s">
        <v>7</v>
      </c>
      <c r="I8" t="s">
        <v>7</v>
      </c>
      <c r="J8" t="s">
        <v>7</v>
      </c>
      <c r="K8" t="s">
        <v>7</v>
      </c>
      <c r="L8" t="s">
        <v>7</v>
      </c>
    </row>
    <row r="9" spans="1:12" x14ac:dyDescent="0.5">
      <c r="A9" s="5">
        <v>1790300234</v>
      </c>
      <c r="B9" s="6" t="s">
        <v>25</v>
      </c>
      <c r="C9" t="s">
        <v>284</v>
      </c>
      <c r="D9" t="s">
        <v>160</v>
      </c>
      <c r="E9" s="6" t="s">
        <v>434</v>
      </c>
      <c r="F9" t="s">
        <v>7</v>
      </c>
      <c r="G9" t="str">
        <f>VLOOKUP(D9,data!$C$2:$U$103,5,FALSE)</f>
        <v>078 829 990</v>
      </c>
      <c r="H9" t="s">
        <v>7</v>
      </c>
      <c r="I9" t="s">
        <v>7</v>
      </c>
      <c r="J9" t="s">
        <v>7</v>
      </c>
      <c r="K9" t="s">
        <v>7</v>
      </c>
      <c r="L9" t="s">
        <v>7</v>
      </c>
    </row>
    <row r="10" spans="1:12" x14ac:dyDescent="0.5">
      <c r="A10" s="5">
        <v>2820300049</v>
      </c>
      <c r="B10" s="6" t="s">
        <v>26</v>
      </c>
      <c r="C10" t="s">
        <v>285</v>
      </c>
      <c r="D10" t="s">
        <v>161</v>
      </c>
      <c r="E10" s="6" t="s">
        <v>435</v>
      </c>
      <c r="F10" t="s">
        <v>7</v>
      </c>
      <c r="G10" t="str">
        <f>VLOOKUP(D10,data!$C$2:$U$103,5,FALSE)</f>
        <v>012 626 057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</row>
    <row r="11" spans="1:12" x14ac:dyDescent="0.5">
      <c r="A11" s="5">
        <v>2720300109</v>
      </c>
      <c r="B11" s="6" t="s">
        <v>27</v>
      </c>
      <c r="C11" t="s">
        <v>286</v>
      </c>
      <c r="D11" t="s">
        <v>162</v>
      </c>
      <c r="E11" s="6" t="s">
        <v>435</v>
      </c>
      <c r="F11" t="s">
        <v>7</v>
      </c>
      <c r="G11" t="str">
        <f>VLOOKUP(D11,data!$C$2:$U$103,5,FALSE)</f>
        <v>096 570 4177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</row>
    <row r="12" spans="1:12" x14ac:dyDescent="0.5">
      <c r="A12" s="5">
        <v>1660300189</v>
      </c>
      <c r="B12" s="6" t="s">
        <v>28</v>
      </c>
      <c r="C12" t="s">
        <v>287</v>
      </c>
      <c r="D12" t="s">
        <v>163</v>
      </c>
      <c r="E12" s="6" t="s">
        <v>434</v>
      </c>
      <c r="F12" t="s">
        <v>7</v>
      </c>
      <c r="G12" t="str">
        <f>VLOOKUP(D12,data!$C$2:$U$103,5,FALSE)</f>
        <v>012 897 651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</row>
    <row r="13" spans="1:12" x14ac:dyDescent="0.5">
      <c r="A13" s="5">
        <v>2670300101</v>
      </c>
      <c r="B13" s="6" t="s">
        <v>29</v>
      </c>
      <c r="C13" t="s">
        <v>288</v>
      </c>
      <c r="D13" t="s">
        <v>164</v>
      </c>
      <c r="E13" s="6" t="s">
        <v>435</v>
      </c>
      <c r="F13" t="s">
        <v>7</v>
      </c>
      <c r="G13">
        <f>VLOOKUP(D13,data!$C$2:$U$103,5,FALSE)</f>
        <v>0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</row>
    <row r="14" spans="1:12" x14ac:dyDescent="0.5">
      <c r="A14" s="5">
        <v>1820300233</v>
      </c>
      <c r="B14" s="6" t="s">
        <v>30</v>
      </c>
      <c r="C14" t="s">
        <v>289</v>
      </c>
      <c r="D14" t="s">
        <v>165</v>
      </c>
      <c r="E14" s="6" t="s">
        <v>434</v>
      </c>
      <c r="F14" t="s">
        <v>7</v>
      </c>
      <c r="G14" t="str">
        <f>VLOOKUP(D14,data!$C$2:$U$103,5,FALSE)</f>
        <v>092 402 727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</row>
    <row r="15" spans="1:12" x14ac:dyDescent="0.5">
      <c r="A15" s="5">
        <v>1890700240</v>
      </c>
      <c r="B15" s="6" t="s">
        <v>31</v>
      </c>
      <c r="C15" t="s">
        <v>290</v>
      </c>
      <c r="D15" t="s">
        <v>166</v>
      </c>
      <c r="E15" s="6" t="s">
        <v>434</v>
      </c>
      <c r="F15" t="s">
        <v>7</v>
      </c>
      <c r="G15" t="str">
        <f>VLOOKUP(D15,data!$C$2:$U$103,5,FALSE)</f>
        <v>017 887 400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</row>
    <row r="16" spans="1:12" x14ac:dyDescent="0.5">
      <c r="A16" s="5">
        <v>2870300243</v>
      </c>
      <c r="B16" s="6" t="s">
        <v>32</v>
      </c>
      <c r="C16" t="s">
        <v>291</v>
      </c>
      <c r="D16" t="s">
        <v>167</v>
      </c>
      <c r="E16" s="6" t="s">
        <v>435</v>
      </c>
      <c r="F16" t="s">
        <v>7</v>
      </c>
      <c r="G16" t="str">
        <f>VLOOKUP(D16,data!$C$2:$U$103,5,FALSE)</f>
        <v>012 438 428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</row>
    <row r="17" spans="1:12" x14ac:dyDescent="0.5">
      <c r="A17" s="5">
        <v>1830300209</v>
      </c>
      <c r="B17" s="6" t="s">
        <v>33</v>
      </c>
      <c r="C17" t="s">
        <v>292</v>
      </c>
      <c r="D17" t="s">
        <v>168</v>
      </c>
      <c r="E17" s="6" t="s">
        <v>434</v>
      </c>
      <c r="F17" t="s">
        <v>7</v>
      </c>
      <c r="G17" t="str">
        <f>VLOOKUP(D17,data!$C$2:$U$103,5,FALSE)</f>
        <v>012 764 206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</row>
    <row r="18" spans="1:12" x14ac:dyDescent="0.5">
      <c r="A18" s="5">
        <v>2930300439</v>
      </c>
      <c r="B18" s="6" t="s">
        <v>34</v>
      </c>
      <c r="C18" t="s">
        <v>293</v>
      </c>
      <c r="D18" t="s">
        <v>169</v>
      </c>
      <c r="E18" s="6" t="s">
        <v>435</v>
      </c>
      <c r="F18" t="s">
        <v>7</v>
      </c>
      <c r="G18" t="str">
        <f>VLOOKUP(D18,data!$C$2:$U$103,5,FALSE)</f>
        <v>011 740 192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</row>
    <row r="19" spans="1:12" x14ac:dyDescent="0.5">
      <c r="A19" s="5">
        <v>2870300253</v>
      </c>
      <c r="B19" s="6" t="s">
        <v>35</v>
      </c>
      <c r="C19" t="s">
        <v>294</v>
      </c>
      <c r="D19" t="s">
        <v>170</v>
      </c>
      <c r="E19" s="6" t="s">
        <v>435</v>
      </c>
      <c r="F19" t="s">
        <v>7</v>
      </c>
      <c r="G19" t="str">
        <f>VLOOKUP(D19,data!$C$2:$U$103,5,FALSE)</f>
        <v>017 659 547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</row>
    <row r="20" spans="1:12" x14ac:dyDescent="0.5">
      <c r="A20" s="5">
        <v>2900300246</v>
      </c>
      <c r="B20" s="6" t="s">
        <v>36</v>
      </c>
      <c r="C20" t="s">
        <v>295</v>
      </c>
      <c r="D20" t="s">
        <v>171</v>
      </c>
      <c r="E20" s="6" t="s">
        <v>435</v>
      </c>
      <c r="F20" t="s">
        <v>7</v>
      </c>
      <c r="G20" t="str">
        <f>VLOOKUP(D20,data!$C$2:$U$103,5,FALSE)</f>
        <v>086 606 996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</row>
    <row r="21" spans="1:12" x14ac:dyDescent="0.5">
      <c r="A21" s="5">
        <v>2990300274</v>
      </c>
      <c r="B21" s="6" t="s">
        <v>37</v>
      </c>
      <c r="C21" t="s">
        <v>296</v>
      </c>
      <c r="D21" t="s">
        <v>172</v>
      </c>
      <c r="E21" s="6" t="s">
        <v>435</v>
      </c>
      <c r="F21" t="s">
        <v>7</v>
      </c>
      <c r="G21" t="e">
        <f>VLOOKUP(D21,data!$C$2:$U$103,5,FALSE)</f>
        <v>#N/A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</row>
    <row r="22" spans="1:12" x14ac:dyDescent="0.5">
      <c r="A22" s="5">
        <v>1840300188</v>
      </c>
      <c r="B22" s="6" t="s">
        <v>38</v>
      </c>
      <c r="C22" t="s">
        <v>297</v>
      </c>
      <c r="D22" t="s">
        <v>173</v>
      </c>
      <c r="E22" s="6" t="s">
        <v>434</v>
      </c>
      <c r="F22" t="s">
        <v>7</v>
      </c>
      <c r="G22" t="str">
        <f>VLOOKUP(D22,data!$C$2:$U$103,5,FALSE)</f>
        <v>012 430 024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</row>
    <row r="23" spans="1:12" x14ac:dyDescent="0.5">
      <c r="A23" s="5">
        <v>2810300213</v>
      </c>
      <c r="B23" s="6" t="s">
        <v>39</v>
      </c>
      <c r="C23" t="s">
        <v>298</v>
      </c>
      <c r="D23" t="s">
        <v>174</v>
      </c>
      <c r="E23" s="6" t="s">
        <v>435</v>
      </c>
      <c r="F23" t="s">
        <v>7</v>
      </c>
      <c r="G23" t="str">
        <f>VLOOKUP(D23,data!$C$2:$U$103,5,FALSE)</f>
        <v>011 992 233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</row>
    <row r="24" spans="1:12" x14ac:dyDescent="0.5">
      <c r="A24" s="5">
        <v>2880300262</v>
      </c>
      <c r="B24" s="6" t="s">
        <v>40</v>
      </c>
      <c r="C24" t="s">
        <v>299</v>
      </c>
      <c r="D24" t="s">
        <v>175</v>
      </c>
      <c r="E24" s="6" t="s">
        <v>435</v>
      </c>
      <c r="F24" t="s">
        <v>7</v>
      </c>
      <c r="G24" t="str">
        <f>VLOOKUP(D24,data!$C$2:$U$103,5,FALSE)</f>
        <v>017 650 480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</row>
    <row r="25" spans="1:12" x14ac:dyDescent="0.5">
      <c r="A25" s="5">
        <v>2980300364</v>
      </c>
      <c r="B25" s="6" t="s">
        <v>41</v>
      </c>
      <c r="C25" t="s">
        <v>300</v>
      </c>
      <c r="D25" t="s">
        <v>176</v>
      </c>
      <c r="E25" s="6" t="s">
        <v>435</v>
      </c>
      <c r="F25" t="s">
        <v>7</v>
      </c>
      <c r="G25" t="e">
        <f>VLOOKUP(D25,data!$C$2:$U$103,5,FALSE)</f>
        <v>#N/A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</row>
    <row r="26" spans="1:12" x14ac:dyDescent="0.5">
      <c r="A26" s="5">
        <v>1670800495</v>
      </c>
      <c r="B26" s="6" t="s">
        <v>42</v>
      </c>
      <c r="C26" t="s">
        <v>301</v>
      </c>
      <c r="D26" t="s">
        <v>177</v>
      </c>
      <c r="E26" s="6" t="s">
        <v>434</v>
      </c>
      <c r="F26" t="s">
        <v>7</v>
      </c>
      <c r="G26" t="str">
        <f>VLOOKUP(D26,data!$C$2:$U$103,5,FALSE)</f>
        <v>012 937 579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</row>
    <row r="27" spans="1:12" x14ac:dyDescent="0.5">
      <c r="A27" s="5">
        <v>1800300408</v>
      </c>
      <c r="B27" s="6" t="s">
        <v>43</v>
      </c>
      <c r="C27" t="s">
        <v>302</v>
      </c>
      <c r="D27" t="s">
        <v>178</v>
      </c>
      <c r="E27" s="6" t="s">
        <v>434</v>
      </c>
      <c r="F27" t="s">
        <v>7</v>
      </c>
      <c r="G27" t="str">
        <f>VLOOKUP(D27,data!$C$2:$U$103,5,FALSE)</f>
        <v>095 993 167</v>
      </c>
      <c r="H27" t="s">
        <v>7</v>
      </c>
      <c r="I27" t="s">
        <v>7</v>
      </c>
      <c r="J27" t="s">
        <v>7</v>
      </c>
      <c r="K27" t="s">
        <v>7</v>
      </c>
      <c r="L27" t="s">
        <v>7</v>
      </c>
    </row>
    <row r="28" spans="1:12" x14ac:dyDescent="0.5">
      <c r="A28" s="5">
        <v>1830300210</v>
      </c>
      <c r="B28" s="6" t="s">
        <v>44</v>
      </c>
      <c r="C28" t="s">
        <v>303</v>
      </c>
      <c r="D28" t="s">
        <v>179</v>
      </c>
      <c r="E28" s="6" t="s">
        <v>434</v>
      </c>
      <c r="F28" t="s">
        <v>7</v>
      </c>
      <c r="G28" t="str">
        <f>VLOOKUP(D28,data!$C$2:$U$103,5,FALSE)</f>
        <v>012 322 701</v>
      </c>
      <c r="H28" t="s">
        <v>7</v>
      </c>
      <c r="I28" t="s">
        <v>7</v>
      </c>
      <c r="J28" t="s">
        <v>7</v>
      </c>
      <c r="K28" t="s">
        <v>7</v>
      </c>
      <c r="L28" t="s">
        <v>7</v>
      </c>
    </row>
    <row r="29" spans="1:12" x14ac:dyDescent="0.5">
      <c r="A29" s="5">
        <v>1870300227</v>
      </c>
      <c r="B29" s="6" t="s">
        <v>45</v>
      </c>
      <c r="C29" t="s">
        <v>304</v>
      </c>
      <c r="D29" t="s">
        <v>180</v>
      </c>
      <c r="E29" s="6" t="s">
        <v>434</v>
      </c>
      <c r="F29" t="s">
        <v>7</v>
      </c>
      <c r="G29" t="str">
        <f>VLOOKUP(D29,data!$C$2:$U$103,5,FALSE)</f>
        <v>078 936 167</v>
      </c>
      <c r="H29" t="s">
        <v>7</v>
      </c>
      <c r="I29" t="s">
        <v>7</v>
      </c>
      <c r="J29" t="s">
        <v>7</v>
      </c>
      <c r="K29" t="s">
        <v>7</v>
      </c>
      <c r="L29" t="s">
        <v>7</v>
      </c>
    </row>
    <row r="30" spans="1:12" x14ac:dyDescent="0.5">
      <c r="A30" s="5">
        <v>1730300800</v>
      </c>
      <c r="B30" s="6" t="s">
        <v>46</v>
      </c>
      <c r="C30" t="s">
        <v>305</v>
      </c>
      <c r="D30" t="s">
        <v>181</v>
      </c>
      <c r="E30" s="6" t="s">
        <v>434</v>
      </c>
      <c r="F30" t="s">
        <v>7</v>
      </c>
      <c r="G30" t="str">
        <f>VLOOKUP(D30,data!$C$2:$U$103,5,FALSE)</f>
        <v>012 202 987</v>
      </c>
      <c r="H30" t="s">
        <v>7</v>
      </c>
      <c r="I30" t="s">
        <v>7</v>
      </c>
      <c r="J30" t="s">
        <v>7</v>
      </c>
      <c r="K30" t="s">
        <v>7</v>
      </c>
      <c r="L30" t="s">
        <v>7</v>
      </c>
    </row>
    <row r="31" spans="1:12" x14ac:dyDescent="0.5">
      <c r="A31" s="5">
        <v>2890300162</v>
      </c>
      <c r="B31" s="6" t="s">
        <v>47</v>
      </c>
      <c r="C31" t="s">
        <v>306</v>
      </c>
      <c r="D31" t="s">
        <v>182</v>
      </c>
      <c r="E31" s="6" t="s">
        <v>435</v>
      </c>
      <c r="F31" t="s">
        <v>7</v>
      </c>
      <c r="G31" t="str">
        <f>VLOOKUP(D31,data!$C$2:$U$103,5,FALSE)</f>
        <v>010 395 278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</row>
    <row r="32" spans="1:12" x14ac:dyDescent="0.5">
      <c r="A32" s="5">
        <v>2820800126</v>
      </c>
      <c r="B32" s="6" t="s">
        <v>48</v>
      </c>
      <c r="C32" t="s">
        <v>307</v>
      </c>
      <c r="D32" t="s">
        <v>183</v>
      </c>
      <c r="E32" s="6" t="s">
        <v>435</v>
      </c>
      <c r="F32" t="s">
        <v>7</v>
      </c>
      <c r="G32" t="str">
        <f>VLOOKUP(D32,data!$C$2:$U$103,5,FALSE)</f>
        <v>012 270 266</v>
      </c>
      <c r="H32" t="s">
        <v>7</v>
      </c>
      <c r="I32" t="s">
        <v>7</v>
      </c>
      <c r="J32" t="s">
        <v>7</v>
      </c>
      <c r="K32" t="s">
        <v>7</v>
      </c>
      <c r="L32" t="s">
        <v>7</v>
      </c>
    </row>
    <row r="33" spans="1:12" x14ac:dyDescent="0.5">
      <c r="A33" s="5">
        <v>1680300330</v>
      </c>
      <c r="B33" s="6" t="s">
        <v>49</v>
      </c>
      <c r="C33" t="s">
        <v>308</v>
      </c>
      <c r="D33" t="s">
        <v>184</v>
      </c>
      <c r="E33" s="6" t="s">
        <v>434</v>
      </c>
      <c r="F33" t="s">
        <v>7</v>
      </c>
      <c r="G33" t="str">
        <f>VLOOKUP(D33,data!$C$2:$U$103,5,FALSE)</f>
        <v>017 627 545</v>
      </c>
      <c r="H33" t="s">
        <v>7</v>
      </c>
      <c r="I33" t="s">
        <v>7</v>
      </c>
      <c r="J33" t="s">
        <v>7</v>
      </c>
      <c r="K33" t="s">
        <v>7</v>
      </c>
      <c r="L33" t="s">
        <v>7</v>
      </c>
    </row>
    <row r="34" spans="1:12" x14ac:dyDescent="0.5">
      <c r="A34" s="5">
        <v>2920300428</v>
      </c>
      <c r="B34" s="6" t="s">
        <v>50</v>
      </c>
      <c r="C34" t="s">
        <v>309</v>
      </c>
      <c r="D34" t="s">
        <v>185</v>
      </c>
      <c r="E34" s="6" t="s">
        <v>435</v>
      </c>
      <c r="F34" t="s">
        <v>7</v>
      </c>
      <c r="G34" t="str">
        <f>VLOOKUP(D34,data!$C$2:$U$103,5,FALSE)</f>
        <v>088 420 0517</v>
      </c>
      <c r="H34" t="s">
        <v>7</v>
      </c>
      <c r="I34" t="s">
        <v>7</v>
      </c>
      <c r="J34" t="s">
        <v>7</v>
      </c>
      <c r="K34" t="s">
        <v>7</v>
      </c>
      <c r="L34" t="s">
        <v>7</v>
      </c>
    </row>
    <row r="35" spans="1:12" x14ac:dyDescent="0.5">
      <c r="A35" s="5">
        <v>2870600141</v>
      </c>
      <c r="B35" s="6" t="s">
        <v>51</v>
      </c>
      <c r="C35" t="s">
        <v>310</v>
      </c>
      <c r="D35" t="s">
        <v>186</v>
      </c>
      <c r="E35" s="6" t="s">
        <v>435</v>
      </c>
      <c r="F35" t="s">
        <v>7</v>
      </c>
      <c r="G35" t="str">
        <f>VLOOKUP(D35,data!$C$2:$U$103,5,FALSE)</f>
        <v>089 544 911</v>
      </c>
      <c r="H35" t="s">
        <v>7</v>
      </c>
      <c r="I35" t="s">
        <v>7</v>
      </c>
      <c r="J35" t="s">
        <v>7</v>
      </c>
      <c r="K35" t="s">
        <v>7</v>
      </c>
      <c r="L35" t="s">
        <v>7</v>
      </c>
    </row>
    <row r="36" spans="1:12" x14ac:dyDescent="0.5">
      <c r="A36" s="5">
        <v>1920300193</v>
      </c>
      <c r="B36" s="6" t="s">
        <v>52</v>
      </c>
      <c r="C36" t="s">
        <v>311</v>
      </c>
      <c r="D36" t="s">
        <v>187</v>
      </c>
      <c r="E36" s="6" t="s">
        <v>434</v>
      </c>
      <c r="F36" t="s">
        <v>7</v>
      </c>
      <c r="G36" t="str">
        <f>VLOOKUP(D36,data!$C$2:$U$103,5,FALSE)</f>
        <v>010 425 656</v>
      </c>
      <c r="H36" t="s">
        <v>7</v>
      </c>
      <c r="I36" t="s">
        <v>7</v>
      </c>
      <c r="J36" t="s">
        <v>7</v>
      </c>
      <c r="K36" t="s">
        <v>7</v>
      </c>
      <c r="L36" t="s">
        <v>7</v>
      </c>
    </row>
    <row r="37" spans="1:12" x14ac:dyDescent="0.5">
      <c r="A37" s="5">
        <v>1900300145</v>
      </c>
      <c r="B37" s="6" t="s">
        <v>53</v>
      </c>
      <c r="C37" t="s">
        <v>312</v>
      </c>
      <c r="D37" t="s">
        <v>188</v>
      </c>
      <c r="E37" s="6" t="s">
        <v>434</v>
      </c>
      <c r="F37" t="s">
        <v>7</v>
      </c>
      <c r="G37" t="str">
        <f>VLOOKUP(D37,data!$C$2:$U$103,5,FALSE)</f>
        <v>097 922 7898</v>
      </c>
      <c r="H37" t="s">
        <v>7</v>
      </c>
      <c r="I37" t="s">
        <v>7</v>
      </c>
      <c r="J37" t="s">
        <v>7</v>
      </c>
      <c r="K37" t="s">
        <v>7</v>
      </c>
      <c r="L37" t="s">
        <v>7</v>
      </c>
    </row>
    <row r="38" spans="1:12" x14ac:dyDescent="0.5">
      <c r="A38" s="5">
        <v>2930300307</v>
      </c>
      <c r="B38" s="6" t="s">
        <v>54</v>
      </c>
      <c r="C38" t="s">
        <v>313</v>
      </c>
      <c r="D38" t="s">
        <v>189</v>
      </c>
      <c r="E38" s="6" t="s">
        <v>435</v>
      </c>
      <c r="F38" t="s">
        <v>7</v>
      </c>
      <c r="G38" t="str">
        <f>VLOOKUP(D38,data!$C$2:$U$103,5,FALSE)</f>
        <v>096 594 3920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</row>
    <row r="39" spans="1:12" x14ac:dyDescent="0.5">
      <c r="A39" s="5">
        <v>1670300249</v>
      </c>
      <c r="B39" s="6" t="s">
        <v>55</v>
      </c>
      <c r="C39" t="s">
        <v>314</v>
      </c>
      <c r="D39" t="s">
        <v>190</v>
      </c>
      <c r="E39" s="6" t="s">
        <v>434</v>
      </c>
      <c r="F39" t="s">
        <v>7</v>
      </c>
      <c r="G39" t="str">
        <f>VLOOKUP(D39,data!$C$2:$U$103,5,FALSE)</f>
        <v>011 779 750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</row>
    <row r="40" spans="1:12" x14ac:dyDescent="0.5">
      <c r="A40" s="5">
        <v>2750300112</v>
      </c>
      <c r="B40" s="6" t="s">
        <v>56</v>
      </c>
      <c r="C40" t="s">
        <v>315</v>
      </c>
      <c r="D40" t="s">
        <v>191</v>
      </c>
      <c r="E40" s="6" t="s">
        <v>435</v>
      </c>
      <c r="F40" t="s">
        <v>7</v>
      </c>
      <c r="G40" t="str">
        <f>VLOOKUP(D40,data!$C$2:$U$103,5,FALSE)</f>
        <v>012 774 020</v>
      </c>
      <c r="H40" t="s">
        <v>7</v>
      </c>
      <c r="I40" t="s">
        <v>7</v>
      </c>
      <c r="J40" t="s">
        <v>7</v>
      </c>
      <c r="K40" t="s">
        <v>7</v>
      </c>
      <c r="L40" t="s">
        <v>7</v>
      </c>
    </row>
    <row r="41" spans="1:12" x14ac:dyDescent="0.5">
      <c r="A41" s="5">
        <v>2800300262</v>
      </c>
      <c r="B41" s="6" t="s">
        <v>57</v>
      </c>
      <c r="C41" t="s">
        <v>316</v>
      </c>
      <c r="D41" t="s">
        <v>192</v>
      </c>
      <c r="E41" s="6" t="s">
        <v>435</v>
      </c>
      <c r="F41" t="s">
        <v>7</v>
      </c>
      <c r="G41" t="str">
        <f>VLOOKUP(D41,data!$C$2:$U$103,5,FALSE)</f>
        <v>089 881 846</v>
      </c>
      <c r="H41" t="s">
        <v>7</v>
      </c>
      <c r="I41" t="s">
        <v>7</v>
      </c>
      <c r="J41" t="s">
        <v>7</v>
      </c>
      <c r="K41" t="s">
        <v>7</v>
      </c>
      <c r="L41" t="s">
        <v>7</v>
      </c>
    </row>
    <row r="42" spans="1:12" x14ac:dyDescent="0.5">
      <c r="A42" s="5">
        <v>1840300118</v>
      </c>
      <c r="B42" s="6" t="s">
        <v>58</v>
      </c>
      <c r="C42" t="s">
        <v>317</v>
      </c>
      <c r="D42" t="s">
        <v>193</v>
      </c>
      <c r="E42" s="6" t="s">
        <v>434</v>
      </c>
      <c r="F42" t="s">
        <v>7</v>
      </c>
      <c r="G42" t="str">
        <f>VLOOKUP(D42,data!$C$2:$U$103,5,FALSE)</f>
        <v>092 382 838</v>
      </c>
      <c r="H42" t="s">
        <v>7</v>
      </c>
      <c r="I42" t="s">
        <v>7</v>
      </c>
      <c r="J42" t="s">
        <v>7</v>
      </c>
      <c r="K42" t="s">
        <v>7</v>
      </c>
      <c r="L42" t="s">
        <v>7</v>
      </c>
    </row>
    <row r="43" spans="1:12" x14ac:dyDescent="0.5">
      <c r="A43" s="5">
        <v>1840600176</v>
      </c>
      <c r="B43" s="6" t="s">
        <v>59</v>
      </c>
      <c r="C43" t="s">
        <v>318</v>
      </c>
      <c r="D43" t="s">
        <v>194</v>
      </c>
      <c r="E43" s="6" t="s">
        <v>434</v>
      </c>
      <c r="F43" t="s">
        <v>7</v>
      </c>
      <c r="G43" t="str">
        <f>VLOOKUP(D43,data!$C$2:$U$103,5,FALSE)</f>
        <v>092 777 221</v>
      </c>
      <c r="H43" t="s">
        <v>7</v>
      </c>
      <c r="I43" t="s">
        <v>7</v>
      </c>
      <c r="J43" t="s">
        <v>7</v>
      </c>
      <c r="K43" t="s">
        <v>7</v>
      </c>
      <c r="L43" t="s">
        <v>7</v>
      </c>
    </row>
    <row r="44" spans="1:12" x14ac:dyDescent="0.5">
      <c r="A44" s="5">
        <v>1820300058</v>
      </c>
      <c r="B44" s="6" t="s">
        <v>60</v>
      </c>
      <c r="C44" t="s">
        <v>319</v>
      </c>
      <c r="D44" t="s">
        <v>195</v>
      </c>
      <c r="E44" s="6" t="s">
        <v>434</v>
      </c>
      <c r="F44" t="s">
        <v>7</v>
      </c>
      <c r="G44" t="str">
        <f>VLOOKUP(D44,data!$C$2:$U$103,5,FALSE)</f>
        <v>092 605 484</v>
      </c>
      <c r="H44" t="s">
        <v>7</v>
      </c>
      <c r="I44" t="s">
        <v>7</v>
      </c>
      <c r="J44" t="s">
        <v>7</v>
      </c>
      <c r="K44" t="s">
        <v>7</v>
      </c>
      <c r="L44" t="s">
        <v>7</v>
      </c>
    </row>
    <row r="45" spans="1:12" x14ac:dyDescent="0.5">
      <c r="A45" s="5">
        <v>1710300321</v>
      </c>
      <c r="B45" s="6" t="s">
        <v>61</v>
      </c>
      <c r="C45" t="s">
        <v>320</v>
      </c>
      <c r="D45" t="s">
        <v>196</v>
      </c>
      <c r="E45" s="6" t="s">
        <v>434</v>
      </c>
      <c r="F45" t="s">
        <v>7</v>
      </c>
      <c r="G45" t="str">
        <f>VLOOKUP(D45,data!$C$2:$U$103,5,FALSE)</f>
        <v>077 510 721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</row>
    <row r="46" spans="1:12" x14ac:dyDescent="0.5">
      <c r="A46" s="5">
        <v>1820300041</v>
      </c>
      <c r="B46" s="6" t="s">
        <v>62</v>
      </c>
      <c r="C46" t="s">
        <v>321</v>
      </c>
      <c r="D46" t="s">
        <v>197</v>
      </c>
      <c r="E46" s="6" t="s">
        <v>434</v>
      </c>
      <c r="G46" t="str">
        <f>VLOOKUP(D46,data!$C$2:$U$103,5,FALSE)</f>
        <v>012 305 156</v>
      </c>
    </row>
    <row r="47" spans="1:12" x14ac:dyDescent="0.5">
      <c r="A47" s="5">
        <v>2820300165</v>
      </c>
      <c r="B47" s="6" t="s">
        <v>63</v>
      </c>
      <c r="C47" t="s">
        <v>322</v>
      </c>
      <c r="D47" t="s">
        <v>198</v>
      </c>
      <c r="E47" s="6" t="s">
        <v>435</v>
      </c>
      <c r="G47" t="str">
        <f>VLOOKUP(D47,data!$C$2:$U$103,5,FALSE)</f>
        <v>012 214 128</v>
      </c>
    </row>
    <row r="48" spans="1:12" x14ac:dyDescent="0.5">
      <c r="A48" s="5">
        <v>2702100269</v>
      </c>
      <c r="B48" s="6" t="s">
        <v>64</v>
      </c>
      <c r="C48" t="s">
        <v>323</v>
      </c>
      <c r="D48" t="s">
        <v>199</v>
      </c>
      <c r="E48" s="6" t="s">
        <v>435</v>
      </c>
      <c r="G48" t="str">
        <f>VLOOKUP(D48,data!$C$2:$U$103,5,FALSE)</f>
        <v>077 499 776</v>
      </c>
    </row>
    <row r="49" spans="1:7" x14ac:dyDescent="0.5">
      <c r="A49" s="5">
        <v>1872100269</v>
      </c>
      <c r="B49" s="6" t="s">
        <v>65</v>
      </c>
      <c r="C49" t="s">
        <v>324</v>
      </c>
      <c r="D49" t="s">
        <v>200</v>
      </c>
      <c r="E49" s="6" t="s">
        <v>434</v>
      </c>
      <c r="G49" t="str">
        <f>VLOOKUP(D49,data!$C$2:$U$103,5,FALSE)</f>
        <v>088 666 6584</v>
      </c>
    </row>
    <row r="50" spans="1:7" x14ac:dyDescent="0.5">
      <c r="A50" s="5">
        <v>1821000140</v>
      </c>
      <c r="B50" s="6" t="s">
        <v>66</v>
      </c>
      <c r="C50" t="s">
        <v>325</v>
      </c>
      <c r="D50" t="s">
        <v>201</v>
      </c>
      <c r="E50" s="6" t="s">
        <v>434</v>
      </c>
      <c r="G50" t="str">
        <f>VLOOKUP(D50,data!$C$2:$U$103,5,FALSE)</f>
        <v>012 642 528</v>
      </c>
    </row>
    <row r="51" spans="1:7" x14ac:dyDescent="0.5">
      <c r="A51" s="5">
        <v>1860300387</v>
      </c>
      <c r="B51" s="6" t="s">
        <v>67</v>
      </c>
      <c r="C51" t="s">
        <v>326</v>
      </c>
      <c r="D51" t="s">
        <v>202</v>
      </c>
      <c r="E51" s="6" t="s">
        <v>434</v>
      </c>
      <c r="G51" t="str">
        <f>VLOOKUP(D51,data!$C$2:$U$103,5,FALSE)</f>
        <v>017 687 802</v>
      </c>
    </row>
    <row r="52" spans="1:7" x14ac:dyDescent="0.5">
      <c r="A52" s="5">
        <v>2910300320</v>
      </c>
      <c r="B52" s="6" t="s">
        <v>68</v>
      </c>
      <c r="C52" t="s">
        <v>327</v>
      </c>
      <c r="D52" t="s">
        <v>203</v>
      </c>
      <c r="E52" s="6" t="s">
        <v>435</v>
      </c>
      <c r="G52" t="str">
        <f>VLOOKUP(D52,data!$C$2:$U$103,5,FALSE)</f>
        <v>096 285 9414</v>
      </c>
    </row>
    <row r="53" spans="1:7" x14ac:dyDescent="0.5">
      <c r="A53" s="5">
        <v>1920300331</v>
      </c>
      <c r="B53" s="6" t="s">
        <v>69</v>
      </c>
      <c r="C53" t="s">
        <v>328</v>
      </c>
      <c r="D53" t="s">
        <v>204</v>
      </c>
      <c r="E53" s="6" t="s">
        <v>434</v>
      </c>
      <c r="G53" t="str">
        <f>VLOOKUP(D53,data!$C$2:$U$103,5,FALSE)</f>
        <v>010 365 233</v>
      </c>
    </row>
    <row r="54" spans="1:7" x14ac:dyDescent="0.5">
      <c r="A54" s="5">
        <v>1904800001</v>
      </c>
      <c r="B54" s="6" t="s">
        <v>70</v>
      </c>
      <c r="C54" t="s">
        <v>329</v>
      </c>
      <c r="D54" t="s">
        <v>205</v>
      </c>
      <c r="E54" s="6" t="s">
        <v>434</v>
      </c>
      <c r="G54" t="str">
        <f>VLOOKUP(D54,data!$C$2:$U$103,5,FALSE)</f>
        <v>085 616 633</v>
      </c>
    </row>
    <row r="55" spans="1:7" x14ac:dyDescent="0.5">
      <c r="A55" s="5">
        <v>1910800280</v>
      </c>
      <c r="B55" s="6" t="s">
        <v>71</v>
      </c>
      <c r="C55" t="s">
        <v>330</v>
      </c>
      <c r="D55" t="s">
        <v>206</v>
      </c>
      <c r="E55" s="6" t="s">
        <v>434</v>
      </c>
      <c r="G55" t="str">
        <f>VLOOKUP(D55,data!$C$2:$U$103,5,FALSE)</f>
        <v>096 393 9987</v>
      </c>
    </row>
    <row r="56" spans="1:7" x14ac:dyDescent="0.5">
      <c r="A56" s="5">
        <v>1811400192</v>
      </c>
      <c r="B56" s="6" t="s">
        <v>72</v>
      </c>
      <c r="C56" t="s">
        <v>331</v>
      </c>
      <c r="D56" t="s">
        <v>207</v>
      </c>
      <c r="E56" s="6" t="s">
        <v>434</v>
      </c>
      <c r="G56" t="str">
        <f>VLOOKUP(D56,data!$C$2:$U$103,5,FALSE)</f>
        <v>015 529 398</v>
      </c>
    </row>
    <row r="57" spans="1:7" x14ac:dyDescent="0.5">
      <c r="A57" s="5">
        <v>2840300235</v>
      </c>
      <c r="B57" s="6" t="s">
        <v>73</v>
      </c>
      <c r="C57" t="s">
        <v>332</v>
      </c>
      <c r="D57" t="s">
        <v>208</v>
      </c>
      <c r="E57" s="6" t="s">
        <v>435</v>
      </c>
      <c r="G57" t="str">
        <f>VLOOKUP(D57,data!$C$2:$U$103,5,FALSE)</f>
        <v>012 404 841</v>
      </c>
    </row>
    <row r="58" spans="1:7" x14ac:dyDescent="0.5">
      <c r="A58" s="5">
        <v>1680300327</v>
      </c>
      <c r="B58" s="6" t="s">
        <v>74</v>
      </c>
      <c r="C58" t="s">
        <v>333</v>
      </c>
      <c r="D58" t="s">
        <v>209</v>
      </c>
      <c r="E58" s="6" t="s">
        <v>434</v>
      </c>
      <c r="G58" t="str">
        <f>VLOOKUP(D58,data!$C$2:$U$103,5,FALSE)</f>
        <v>097 999 2928</v>
      </c>
    </row>
    <row r="59" spans="1:7" x14ac:dyDescent="0.5">
      <c r="A59" s="5">
        <v>1730500353</v>
      </c>
      <c r="B59" s="6" t="s">
        <v>75</v>
      </c>
      <c r="C59" t="s">
        <v>334</v>
      </c>
      <c r="D59" t="s">
        <v>210</v>
      </c>
      <c r="E59" s="6" t="s">
        <v>434</v>
      </c>
      <c r="G59" t="str">
        <f>VLOOKUP(D59,data!$C$2:$U$103,5,FALSE)</f>
        <v>016 459 757</v>
      </c>
    </row>
    <row r="60" spans="1:7" x14ac:dyDescent="0.5">
      <c r="A60" s="5">
        <v>1930700107</v>
      </c>
      <c r="B60" s="6" t="s">
        <v>76</v>
      </c>
      <c r="C60" t="s">
        <v>335</v>
      </c>
      <c r="D60" t="s">
        <v>211</v>
      </c>
      <c r="E60" s="6" t="s">
        <v>434</v>
      </c>
      <c r="G60" t="str">
        <f>VLOOKUP(D60,data!$C$2:$U$103,5,FALSE)</f>
        <v>096 995 6036</v>
      </c>
    </row>
    <row r="61" spans="1:7" x14ac:dyDescent="0.5">
      <c r="A61" s="5">
        <v>1680800830</v>
      </c>
      <c r="B61" s="6" t="s">
        <v>77</v>
      </c>
      <c r="C61" t="s">
        <v>336</v>
      </c>
      <c r="D61" t="s">
        <v>212</v>
      </c>
      <c r="E61" s="6" t="s">
        <v>434</v>
      </c>
      <c r="G61" t="str">
        <f>VLOOKUP(D61,data!$C$2:$U$103,5,FALSE)</f>
        <v>012 433 143</v>
      </c>
    </row>
    <row r="62" spans="1:7" x14ac:dyDescent="0.5">
      <c r="A62" s="5">
        <v>2690300192</v>
      </c>
      <c r="B62" s="6" t="s">
        <v>78</v>
      </c>
      <c r="C62" t="s">
        <v>337</v>
      </c>
      <c r="D62" t="s">
        <v>213</v>
      </c>
      <c r="E62" s="6" t="s">
        <v>435</v>
      </c>
      <c r="G62" t="str">
        <f>VLOOKUP(D62,data!$C$2:$U$103,5,FALSE)</f>
        <v>077 559 967</v>
      </c>
    </row>
    <row r="63" spans="1:7" x14ac:dyDescent="0.5">
      <c r="A63" s="5">
        <v>1800800450</v>
      </c>
      <c r="B63" s="6" t="s">
        <v>79</v>
      </c>
      <c r="C63" t="s">
        <v>338</v>
      </c>
      <c r="D63" t="s">
        <v>214</v>
      </c>
      <c r="E63" s="6" t="s">
        <v>434</v>
      </c>
      <c r="G63" t="str">
        <f>VLOOKUP(D63,data!$C$2:$U$103,5,FALSE)</f>
        <v>092 737 648</v>
      </c>
    </row>
    <row r="64" spans="1:7" x14ac:dyDescent="0.5">
      <c r="A64" s="5">
        <v>1680300367</v>
      </c>
      <c r="B64" s="6" t="s">
        <v>80</v>
      </c>
      <c r="C64" t="s">
        <v>339</v>
      </c>
      <c r="D64" t="s">
        <v>215</v>
      </c>
      <c r="E64" s="6" t="s">
        <v>434</v>
      </c>
      <c r="G64" t="str">
        <f>VLOOKUP(D64,data!$C$2:$U$103,5,FALSE)</f>
        <v>092 902 511</v>
      </c>
    </row>
    <row r="65" spans="1:7" x14ac:dyDescent="0.5">
      <c r="A65" s="5">
        <v>2680300173</v>
      </c>
      <c r="B65" s="6" t="s">
        <v>81</v>
      </c>
      <c r="C65" t="s">
        <v>340</v>
      </c>
      <c r="D65" t="s">
        <v>216</v>
      </c>
      <c r="E65" s="6" t="s">
        <v>435</v>
      </c>
      <c r="G65" t="str">
        <f>VLOOKUP(D65,data!$C$2:$U$103,5,FALSE)</f>
        <v>012 550 812</v>
      </c>
    </row>
    <row r="66" spans="1:7" x14ac:dyDescent="0.5">
      <c r="A66" s="5">
        <v>1831200363</v>
      </c>
      <c r="B66" s="6" t="s">
        <v>82</v>
      </c>
      <c r="C66" t="s">
        <v>341</v>
      </c>
      <c r="D66" t="s">
        <v>217</v>
      </c>
      <c r="E66" s="6" t="s">
        <v>434</v>
      </c>
      <c r="G66" t="str">
        <f>VLOOKUP(D66,data!$C$2:$U$103,5,FALSE)</f>
        <v>010 420 637</v>
      </c>
    </row>
    <row r="67" spans="1:7" x14ac:dyDescent="0.5">
      <c r="A67" s="5">
        <v>1860300283</v>
      </c>
      <c r="B67" s="6" t="s">
        <v>690</v>
      </c>
      <c r="C67" t="s">
        <v>342</v>
      </c>
      <c r="D67" t="s">
        <v>218</v>
      </c>
      <c r="E67" s="6" t="s">
        <v>434</v>
      </c>
      <c r="G67" t="str">
        <f>VLOOKUP(D67,data!$C$2:$U$103,5,FALSE)</f>
        <v>099 283 783</v>
      </c>
    </row>
    <row r="68" spans="1:7" x14ac:dyDescent="0.5">
      <c r="A68" s="5">
        <v>2830300017</v>
      </c>
      <c r="B68" s="6" t="s">
        <v>83</v>
      </c>
      <c r="C68" t="s">
        <v>343</v>
      </c>
      <c r="D68" t="s">
        <v>219</v>
      </c>
      <c r="E68" s="6" t="s">
        <v>435</v>
      </c>
      <c r="G68" t="str">
        <f>VLOOKUP(D68,data!$C$2:$U$103,5,FALSE)</f>
        <v>012 933 475</v>
      </c>
    </row>
    <row r="69" spans="1:7" x14ac:dyDescent="0.5">
      <c r="A69" s="5">
        <v>1901200129</v>
      </c>
      <c r="B69" s="6" t="s">
        <v>84</v>
      </c>
      <c r="C69" t="s">
        <v>344</v>
      </c>
      <c r="D69" t="s">
        <v>220</v>
      </c>
      <c r="E69" s="6" t="s">
        <v>434</v>
      </c>
      <c r="G69" t="str">
        <f>VLOOKUP(D69,data!$C$2:$U$103,5,FALSE)</f>
        <v>089 930 667</v>
      </c>
    </row>
    <row r="70" spans="1:7" x14ac:dyDescent="0.5">
      <c r="A70" s="5">
        <v>2670800184</v>
      </c>
      <c r="B70" s="6" t="s">
        <v>85</v>
      </c>
      <c r="C70" t="s">
        <v>345</v>
      </c>
      <c r="D70" t="s">
        <v>221</v>
      </c>
      <c r="E70" s="6" t="s">
        <v>435</v>
      </c>
      <c r="G70" t="str">
        <f>VLOOKUP(D70,data!$C$2:$U$103,5,FALSE)</f>
        <v>011 403 688</v>
      </c>
    </row>
    <row r="71" spans="1:7" x14ac:dyDescent="0.5">
      <c r="A71" s="5">
        <v>1840300396</v>
      </c>
      <c r="B71" s="6" t="s">
        <v>86</v>
      </c>
      <c r="C71" t="s">
        <v>346</v>
      </c>
      <c r="D71" t="s">
        <v>222</v>
      </c>
      <c r="E71" s="6" t="s">
        <v>434</v>
      </c>
      <c r="G71" t="str">
        <f>VLOOKUP(D71,data!$C$2:$U$103,5,FALSE)</f>
        <v>061 414 646</v>
      </c>
    </row>
    <row r="72" spans="1:7" x14ac:dyDescent="0.5">
      <c r="A72" s="5">
        <v>1850800312</v>
      </c>
      <c r="B72" s="6" t="s">
        <v>87</v>
      </c>
      <c r="C72" t="s">
        <v>347</v>
      </c>
      <c r="D72" t="s">
        <v>223</v>
      </c>
      <c r="E72" s="6" t="s">
        <v>434</v>
      </c>
      <c r="G72" t="str">
        <f>VLOOKUP(D72,data!$C$2:$U$103,5,FALSE)</f>
        <v>098​​ 6161 63</v>
      </c>
    </row>
    <row r="73" spans="1:7" x14ac:dyDescent="0.5">
      <c r="A73" s="5">
        <v>1850300085</v>
      </c>
      <c r="B73" s="6" t="s">
        <v>88</v>
      </c>
      <c r="C73" t="s">
        <v>348</v>
      </c>
      <c r="D73" t="s">
        <v>224</v>
      </c>
      <c r="E73" s="6" t="s">
        <v>434</v>
      </c>
      <c r="G73" t="str">
        <f>VLOOKUP(D73,data!$C$2:$U$103,5,FALSE)</f>
        <v>078 600 636</v>
      </c>
    </row>
    <row r="74" spans="1:7" x14ac:dyDescent="0.5">
      <c r="A74" s="5">
        <v>2871400116</v>
      </c>
      <c r="B74" s="6" t="s">
        <v>89</v>
      </c>
      <c r="C74" t="s">
        <v>349</v>
      </c>
      <c r="D74" t="s">
        <v>225</v>
      </c>
      <c r="E74" s="6" t="s">
        <v>435</v>
      </c>
      <c r="G74" t="str">
        <f>VLOOKUP(D74,data!$C$2:$U$103,5,FALSE)</f>
        <v>015 953 435</v>
      </c>
    </row>
    <row r="75" spans="1:7" x14ac:dyDescent="0.5">
      <c r="A75" s="5">
        <v>2900300321</v>
      </c>
      <c r="B75" s="6" t="s">
        <v>90</v>
      </c>
      <c r="C75" t="s">
        <v>350</v>
      </c>
      <c r="D75" t="s">
        <v>226</v>
      </c>
      <c r="E75" s="6" t="s">
        <v>435</v>
      </c>
      <c r="G75" t="str">
        <f>VLOOKUP(D75,data!$C$2:$U$103,5,FALSE)</f>
        <v>015 440 254</v>
      </c>
    </row>
    <row r="76" spans="1:7" x14ac:dyDescent="0.5">
      <c r="A76" s="5">
        <v>2870300008</v>
      </c>
      <c r="B76" s="6" t="s">
        <v>91</v>
      </c>
      <c r="C76" t="s">
        <v>351</v>
      </c>
      <c r="D76" t="s">
        <v>227</v>
      </c>
      <c r="E76" s="6" t="s">
        <v>435</v>
      </c>
      <c r="G76" t="str">
        <f>VLOOKUP(D76,data!$C$2:$U$103,5,FALSE)</f>
        <v>017 661 686</v>
      </c>
    </row>
    <row r="77" spans="1:7" x14ac:dyDescent="0.5">
      <c r="A77" s="5">
        <v>1901200130</v>
      </c>
      <c r="B77" s="6" t="s">
        <v>92</v>
      </c>
      <c r="C77" t="s">
        <v>352</v>
      </c>
      <c r="D77" t="s">
        <v>228</v>
      </c>
      <c r="E77" s="6" t="s">
        <v>434</v>
      </c>
      <c r="G77" t="str">
        <f>VLOOKUP(D77,data!$C$2:$U$103,5,FALSE)</f>
        <v>097 248 6868</v>
      </c>
    </row>
    <row r="78" spans="1:7" x14ac:dyDescent="0.5">
      <c r="A78" s="5">
        <v>2860300359</v>
      </c>
      <c r="B78" s="6" t="s">
        <v>93</v>
      </c>
      <c r="C78" t="s">
        <v>353</v>
      </c>
      <c r="D78" t="s">
        <v>229</v>
      </c>
      <c r="E78" s="6" t="s">
        <v>435</v>
      </c>
      <c r="G78" t="str">
        <f>VLOOKUP(D78,data!$C$2:$U$103,5,FALSE)</f>
        <v>092 833681</v>
      </c>
    </row>
    <row r="79" spans="1:7" x14ac:dyDescent="0.5">
      <c r="A79" s="5">
        <v>2680300175</v>
      </c>
      <c r="B79" s="6" t="s">
        <v>94</v>
      </c>
      <c r="C79" t="s">
        <v>354</v>
      </c>
      <c r="D79" t="s">
        <v>230</v>
      </c>
      <c r="E79" s="6" t="s">
        <v>435</v>
      </c>
      <c r="G79" t="str">
        <f>VLOOKUP(D79,data!$C$2:$U$103,5,FALSE)</f>
        <v>012 584 338</v>
      </c>
    </row>
    <row r="80" spans="1:7" x14ac:dyDescent="0.5">
      <c r="A80" s="5">
        <v>1690300388</v>
      </c>
      <c r="B80" s="6" t="s">
        <v>95</v>
      </c>
      <c r="C80" t="s">
        <v>355</v>
      </c>
      <c r="D80" t="s">
        <v>231</v>
      </c>
      <c r="E80" s="6" t="s">
        <v>434</v>
      </c>
      <c r="G80" t="str">
        <f>VLOOKUP(D80,data!$C$2:$U$103,5,FALSE)</f>
        <v>012 236 891</v>
      </c>
    </row>
    <row r="81" spans="1:7" x14ac:dyDescent="0.5">
      <c r="A81" s="5">
        <v>1690300442</v>
      </c>
      <c r="B81" s="6" t="s">
        <v>96</v>
      </c>
      <c r="C81" t="s">
        <v>356</v>
      </c>
      <c r="D81" t="s">
        <v>232</v>
      </c>
      <c r="E81" s="6" t="s">
        <v>434</v>
      </c>
      <c r="G81" t="str">
        <f>VLOOKUP(D81,data!$C$2:$U$103,5,FALSE)</f>
        <v>011 205 871</v>
      </c>
    </row>
    <row r="82" spans="1:7" x14ac:dyDescent="0.5">
      <c r="A82" s="5">
        <v>2800300061</v>
      </c>
      <c r="B82" s="6" t="s">
        <v>97</v>
      </c>
      <c r="C82" t="s">
        <v>357</v>
      </c>
      <c r="D82" t="s">
        <v>233</v>
      </c>
      <c r="E82" s="6" t="s">
        <v>435</v>
      </c>
      <c r="G82" t="str">
        <f>VLOOKUP(D82,data!$C$2:$U$103,5,FALSE)</f>
        <v>016 376 387</v>
      </c>
    </row>
    <row r="83" spans="1:7" x14ac:dyDescent="0.5">
      <c r="A83" s="5">
        <v>2700300301</v>
      </c>
      <c r="B83" s="6" t="s">
        <v>98</v>
      </c>
      <c r="C83" t="s">
        <v>358</v>
      </c>
      <c r="D83" t="s">
        <v>234</v>
      </c>
      <c r="E83" s="6" t="s">
        <v>435</v>
      </c>
      <c r="G83" t="str">
        <f>VLOOKUP(D83,data!$C$2:$U$103,5,FALSE)</f>
        <v>092 740​ ​682</v>
      </c>
    </row>
    <row r="84" spans="1:7" x14ac:dyDescent="0.5">
      <c r="A84" s="5">
        <v>1690300322</v>
      </c>
      <c r="B84" s="6" t="s">
        <v>99</v>
      </c>
      <c r="C84" t="s">
        <v>359</v>
      </c>
      <c r="D84" t="s">
        <v>235</v>
      </c>
      <c r="E84" s="6" t="s">
        <v>434</v>
      </c>
      <c r="G84" t="str">
        <f>VLOOKUP(D84,data!$C$2:$U$103,5,FALSE)</f>
        <v>096 627 8992</v>
      </c>
    </row>
    <row r="85" spans="1:7" x14ac:dyDescent="0.5">
      <c r="A85" s="5">
        <v>1730300451</v>
      </c>
      <c r="B85" s="6" t="s">
        <v>100</v>
      </c>
      <c r="C85" t="s">
        <v>360</v>
      </c>
      <c r="D85" t="s">
        <v>236</v>
      </c>
      <c r="E85" s="6" t="s">
        <v>434</v>
      </c>
      <c r="G85" t="str">
        <f>VLOOKUP(D85,data!$C$2:$U$103,5,FALSE)</f>
        <v>092 808 363</v>
      </c>
    </row>
    <row r="86" spans="1:7" x14ac:dyDescent="0.5">
      <c r="A86" s="5">
        <v>2780300027</v>
      </c>
      <c r="B86" s="6" t="s">
        <v>101</v>
      </c>
      <c r="C86" t="s">
        <v>361</v>
      </c>
      <c r="D86" t="s">
        <v>237</v>
      </c>
      <c r="E86" s="6" t="s">
        <v>435</v>
      </c>
      <c r="G86" t="str">
        <f>VLOOKUP(D86,data!$C$2:$U$103,5,FALSE)</f>
        <v>017 763 571</v>
      </c>
    </row>
    <row r="87" spans="1:7" x14ac:dyDescent="0.5">
      <c r="A87" s="5">
        <v>2810300025</v>
      </c>
      <c r="B87" s="6" t="s">
        <v>102</v>
      </c>
      <c r="C87" t="s">
        <v>362</v>
      </c>
      <c r="D87" t="s">
        <v>238</v>
      </c>
      <c r="E87" s="6" t="s">
        <v>435</v>
      </c>
      <c r="G87" t="str">
        <f>VLOOKUP(D87,data!$C$2:$U$103,5,FALSE)</f>
        <v>017 544 243</v>
      </c>
    </row>
    <row r="88" spans="1:7" x14ac:dyDescent="0.5">
      <c r="A88" s="5">
        <v>2830300078</v>
      </c>
      <c r="B88" s="6" t="s">
        <v>103</v>
      </c>
      <c r="C88" t="s">
        <v>363</v>
      </c>
      <c r="D88" t="s">
        <v>239</v>
      </c>
      <c r="E88" s="6" t="s">
        <v>435</v>
      </c>
      <c r="G88" t="str">
        <f>VLOOKUP(D88,data!$C$2:$U$103,5,FALSE)</f>
        <v>012 576 434</v>
      </c>
    </row>
    <row r="89" spans="1:7" x14ac:dyDescent="0.5">
      <c r="A89" s="5">
        <v>1870300100</v>
      </c>
      <c r="B89" s="6" t="s">
        <v>104</v>
      </c>
      <c r="C89" t="s">
        <v>364</v>
      </c>
      <c r="D89" t="s">
        <v>240</v>
      </c>
      <c r="E89" s="6" t="s">
        <v>434</v>
      </c>
      <c r="G89" t="str">
        <f>VLOOKUP(D89,data!$C$2:$U$103,5,FALSE)</f>
        <v>086 572 451</v>
      </c>
    </row>
    <row r="90" spans="1:7" x14ac:dyDescent="0.5">
      <c r="A90" s="5">
        <v>2870300157</v>
      </c>
      <c r="B90" s="6" t="s">
        <v>105</v>
      </c>
      <c r="C90" t="s">
        <v>365</v>
      </c>
      <c r="D90" t="s">
        <v>241</v>
      </c>
      <c r="E90" s="6" t="s">
        <v>435</v>
      </c>
      <c r="G90" t="str">
        <f>VLOOKUP(D90,data!$C$2:$U$103,5,FALSE)</f>
        <v>017 261463</v>
      </c>
    </row>
    <row r="91" spans="1:7" x14ac:dyDescent="0.5">
      <c r="A91" s="5">
        <v>2910300165</v>
      </c>
      <c r="B91" s="6" t="s">
        <v>106</v>
      </c>
      <c r="C91" t="s">
        <v>366</v>
      </c>
      <c r="D91" t="s">
        <v>242</v>
      </c>
      <c r="E91" s="6" t="s">
        <v>435</v>
      </c>
      <c r="G91" t="str">
        <f>VLOOKUP(D91,data!$C$2:$U$103,5,FALSE)</f>
        <v>012 481 018</v>
      </c>
    </row>
    <row r="92" spans="1:7" x14ac:dyDescent="0.5">
      <c r="A92" s="5">
        <v>1690300603</v>
      </c>
      <c r="B92" s="6" t="s">
        <v>107</v>
      </c>
      <c r="C92" t="s">
        <v>367</v>
      </c>
      <c r="D92" t="s">
        <v>243</v>
      </c>
      <c r="E92" s="6" t="s">
        <v>434</v>
      </c>
      <c r="G92" t="str">
        <f>VLOOKUP(D92,data!$C$2:$U$103,5,FALSE)</f>
        <v>017 225 545</v>
      </c>
    </row>
    <row r="93" spans="1:7" x14ac:dyDescent="0.5">
      <c r="A93" s="5">
        <v>2680300182</v>
      </c>
      <c r="B93" s="6" t="s">
        <v>108</v>
      </c>
      <c r="C93" t="s">
        <v>368</v>
      </c>
      <c r="D93" t="s">
        <v>244</v>
      </c>
      <c r="E93" s="6" t="s">
        <v>435</v>
      </c>
      <c r="G93" t="str">
        <f>VLOOKUP(D93,data!$C$2:$U$103,5,FALSE)</f>
        <v>087 797 776</v>
      </c>
    </row>
    <row r="94" spans="1:7" x14ac:dyDescent="0.5">
      <c r="A94" s="5">
        <v>1690300349</v>
      </c>
      <c r="B94" s="6" t="s">
        <v>109</v>
      </c>
      <c r="C94" t="s">
        <v>369</v>
      </c>
      <c r="D94" t="s">
        <v>245</v>
      </c>
      <c r="E94" s="6" t="s">
        <v>434</v>
      </c>
      <c r="G94" t="str">
        <f>VLOOKUP(D94,data!$C$2:$U$103,5,FALSE)</f>
        <v>011 760 236</v>
      </c>
    </row>
    <row r="95" spans="1:7" x14ac:dyDescent="0.5">
      <c r="A95" s="5">
        <v>2930300284</v>
      </c>
      <c r="B95" s="6" t="s">
        <v>110</v>
      </c>
      <c r="C95" t="s">
        <v>370</v>
      </c>
      <c r="D95" t="s">
        <v>246</v>
      </c>
      <c r="E95" s="6" t="s">
        <v>435</v>
      </c>
      <c r="G95" t="str">
        <f>VLOOKUP(D95,data!$C$2:$U$103,5,FALSE)</f>
        <v>010 988 740</v>
      </c>
    </row>
    <row r="96" spans="1:7" x14ac:dyDescent="0.5">
      <c r="A96" s="5">
        <v>1942000040</v>
      </c>
      <c r="B96" s="6" t="s">
        <v>111</v>
      </c>
      <c r="C96" t="s">
        <v>371</v>
      </c>
      <c r="D96" t="s">
        <v>247</v>
      </c>
      <c r="E96" s="6" t="s">
        <v>434</v>
      </c>
      <c r="G96" t="str">
        <f>VLOOKUP(D96,data!$C$2:$U$103,5,FALSE)</f>
        <v>070 840 703</v>
      </c>
    </row>
    <row r="97" spans="1:7" x14ac:dyDescent="0.5">
      <c r="A97" s="5">
        <v>1931000087</v>
      </c>
      <c r="B97" s="6" t="s">
        <v>112</v>
      </c>
      <c r="C97" t="s">
        <v>372</v>
      </c>
      <c r="D97" t="s">
        <v>248</v>
      </c>
      <c r="E97" s="6" t="s">
        <v>434</v>
      </c>
      <c r="G97" t="str">
        <f>VLOOKUP(D97,data!$C$2:$U$103,5,FALSE)</f>
        <v>015 612 512</v>
      </c>
    </row>
    <row r="98" spans="1:7" x14ac:dyDescent="0.5">
      <c r="A98" s="5">
        <v>1960300210</v>
      </c>
      <c r="B98" s="6" t="s">
        <v>113</v>
      </c>
      <c r="C98" t="s">
        <v>373</v>
      </c>
      <c r="D98" t="s">
        <v>249</v>
      </c>
      <c r="E98" s="6" t="s">
        <v>434</v>
      </c>
      <c r="G98" t="str">
        <f>VLOOKUP(D98,data!$C$2:$U$103,5,FALSE)</f>
        <v>016 549 414</v>
      </c>
    </row>
    <row r="99" spans="1:7" x14ac:dyDescent="0.5">
      <c r="A99" s="5">
        <v>1680300355</v>
      </c>
      <c r="B99" s="6" t="s">
        <v>114</v>
      </c>
      <c r="C99" t="s">
        <v>374</v>
      </c>
      <c r="D99" t="s">
        <v>250</v>
      </c>
      <c r="E99" s="6" t="s">
        <v>434</v>
      </c>
      <c r="G99" t="str">
        <f>VLOOKUP(D99,data!$C$2:$U$103,5,FALSE)</f>
        <v>012​ 752 553</v>
      </c>
    </row>
    <row r="100" spans="1:7" x14ac:dyDescent="0.5">
      <c r="A100" s="5">
        <v>2820300034</v>
      </c>
      <c r="B100" s="6" t="s">
        <v>115</v>
      </c>
      <c r="C100" t="s">
        <v>375</v>
      </c>
      <c r="D100" t="s">
        <v>251</v>
      </c>
      <c r="E100" s="6" t="s">
        <v>435</v>
      </c>
      <c r="G100" t="str">
        <f>VLOOKUP(D100,data!$C$2:$U$103,5,FALSE)</f>
        <v>012​ 492 550</v>
      </c>
    </row>
    <row r="101" spans="1:7" x14ac:dyDescent="0.5">
      <c r="A101" s="5">
        <v>2800300234</v>
      </c>
      <c r="B101" s="6" t="s">
        <v>116</v>
      </c>
      <c r="C101" t="s">
        <v>376</v>
      </c>
      <c r="D101" t="s">
        <v>252</v>
      </c>
      <c r="E101" s="6" t="s">
        <v>435</v>
      </c>
      <c r="G101" t="e">
        <f>VLOOKUP(D101,data!$C$2:$U$103,5,FALSE)</f>
        <v>#N/A</v>
      </c>
    </row>
    <row r="102" spans="1:7" x14ac:dyDescent="0.5">
      <c r="A102" s="5">
        <v>2000300183</v>
      </c>
      <c r="B102" s="6" t="s">
        <v>117</v>
      </c>
      <c r="C102" t="s">
        <v>377</v>
      </c>
      <c r="D102" t="s">
        <v>253</v>
      </c>
      <c r="E102" s="6" t="s">
        <v>435</v>
      </c>
      <c r="G102" t="str">
        <f>VLOOKUP(D102,data!$C$2:$U$103,5,FALSE)</f>
        <v>096​ 816 1466</v>
      </c>
    </row>
    <row r="103" spans="1:7" x14ac:dyDescent="0.5">
      <c r="A103" s="5">
        <v>1990300147</v>
      </c>
      <c r="B103" s="6" t="s">
        <v>118</v>
      </c>
      <c r="C103" t="s">
        <v>378</v>
      </c>
      <c r="D103" t="s">
        <v>254</v>
      </c>
      <c r="E103" s="6" t="s">
        <v>434</v>
      </c>
      <c r="G103" t="str">
        <f>VLOOKUP(D103,data!$C$2:$U$103,5,FALSE)</f>
        <v>088 ​913 0994</v>
      </c>
    </row>
    <row r="104" spans="1:7" x14ac:dyDescent="0.5">
      <c r="A104" s="5">
        <v>100001</v>
      </c>
      <c r="B104" s="6" t="s">
        <v>119</v>
      </c>
      <c r="C104" t="s">
        <v>379</v>
      </c>
      <c r="D104" t="s">
        <v>255</v>
      </c>
      <c r="E104" s="6" t="s">
        <v>434</v>
      </c>
      <c r="G104" t="e">
        <f>VLOOKUP(D104,data!$C$2:$U$103,5,FALSE)</f>
        <v>#N/A</v>
      </c>
    </row>
    <row r="105" spans="1:7" x14ac:dyDescent="0.5">
      <c r="A105" s="5">
        <v>1720300297</v>
      </c>
      <c r="B105" s="6" t="s">
        <v>120</v>
      </c>
      <c r="C105" t="s">
        <v>380</v>
      </c>
      <c r="D105" t="s">
        <v>256</v>
      </c>
      <c r="E105" s="6" t="s">
        <v>434</v>
      </c>
      <c r="G105" t="e">
        <f>VLOOKUP(D105,data!$C$2:$U$103,5,FALSE)</f>
        <v>#N/A</v>
      </c>
    </row>
    <row r="106" spans="1:7" x14ac:dyDescent="0.5">
      <c r="A106" s="5">
        <v>2740300117</v>
      </c>
      <c r="B106" s="6" t="s">
        <v>121</v>
      </c>
      <c r="C106" t="s">
        <v>381</v>
      </c>
      <c r="D106" t="s">
        <v>257</v>
      </c>
      <c r="E106" s="6" t="s">
        <v>435</v>
      </c>
      <c r="G106" t="e">
        <f>VLOOKUP(D106,data!$C$2:$U$103,5,FALSE)</f>
        <v>#N/A</v>
      </c>
    </row>
    <row r="107" spans="1:7" x14ac:dyDescent="0.5">
      <c r="A107" s="5">
        <v>2980300142</v>
      </c>
      <c r="B107" s="6" t="s">
        <v>122</v>
      </c>
      <c r="C107" t="s">
        <v>382</v>
      </c>
      <c r="D107" t="s">
        <v>258</v>
      </c>
      <c r="E107" s="6" t="s">
        <v>435</v>
      </c>
      <c r="G107" t="e">
        <f>VLOOKUP(D107,data!$C$2:$U$103,5,FALSE)</f>
        <v>#N/A</v>
      </c>
    </row>
    <row r="108" spans="1:7" x14ac:dyDescent="0.5">
      <c r="A108" s="5">
        <v>1750300287</v>
      </c>
      <c r="B108" s="6" t="s">
        <v>123</v>
      </c>
      <c r="C108" t="s">
        <v>383</v>
      </c>
      <c r="D108" t="s">
        <v>259</v>
      </c>
      <c r="E108" s="6" t="s">
        <v>434</v>
      </c>
      <c r="G108" t="e">
        <f>VLOOKUP(D108,data!$C$2:$U$103,5,FALSE)</f>
        <v>#N/A</v>
      </c>
    </row>
    <row r="109" spans="1:7" x14ac:dyDescent="0.5">
      <c r="A109" s="5">
        <v>2760300055</v>
      </c>
      <c r="B109" s="6" t="s">
        <v>124</v>
      </c>
      <c r="C109" t="s">
        <v>384</v>
      </c>
      <c r="D109" t="s">
        <v>260</v>
      </c>
      <c r="E109" s="6" t="s">
        <v>435</v>
      </c>
      <c r="G109" t="e">
        <f>VLOOKUP(D109,data!$C$2:$U$103,5,FALSE)</f>
        <v>#N/A</v>
      </c>
    </row>
    <row r="110" spans="1:7" x14ac:dyDescent="0.5">
      <c r="A110" s="5">
        <v>2780300025</v>
      </c>
      <c r="B110" s="6" t="s">
        <v>125</v>
      </c>
      <c r="C110" t="s">
        <v>385</v>
      </c>
      <c r="D110" t="s">
        <v>261</v>
      </c>
      <c r="E110" s="6" t="s">
        <v>435</v>
      </c>
      <c r="G110" t="e">
        <f>VLOOKUP(D110,data!$C$2:$U$103,5,FALSE)</f>
        <v>#N/A</v>
      </c>
    </row>
    <row r="111" spans="1:7" x14ac:dyDescent="0.5">
      <c r="A111" s="5">
        <v>2820300159</v>
      </c>
      <c r="B111" s="6" t="s">
        <v>126</v>
      </c>
      <c r="C111" t="s">
        <v>386</v>
      </c>
      <c r="D111" t="s">
        <v>262</v>
      </c>
      <c r="E111" s="6" t="s">
        <v>435</v>
      </c>
      <c r="G111" t="e">
        <f>VLOOKUP(D111,data!$C$2:$U$103,5,FALSE)</f>
        <v>#N/A</v>
      </c>
    </row>
    <row r="112" spans="1:7" x14ac:dyDescent="0.5">
      <c r="A112" s="5">
        <v>1850300039</v>
      </c>
      <c r="B112" s="6" t="s">
        <v>127</v>
      </c>
      <c r="C112" t="s">
        <v>387</v>
      </c>
      <c r="D112" t="s">
        <v>263</v>
      </c>
      <c r="E112" s="6" t="s">
        <v>434</v>
      </c>
      <c r="G112" t="e">
        <f>VLOOKUP(D112,data!$C$2:$U$103,5,FALSE)</f>
        <v>#N/A</v>
      </c>
    </row>
    <row r="113" spans="1:7" x14ac:dyDescent="0.5">
      <c r="A113" s="5">
        <v>2860300021</v>
      </c>
      <c r="B113" s="6" t="s">
        <v>128</v>
      </c>
      <c r="C113" t="s">
        <v>388</v>
      </c>
      <c r="D113" t="s">
        <v>264</v>
      </c>
      <c r="E113" s="6" t="s">
        <v>435</v>
      </c>
      <c r="G113" t="e">
        <f>VLOOKUP(D113,data!$C$2:$U$103,5,FALSE)</f>
        <v>#N/A</v>
      </c>
    </row>
    <row r="114" spans="1:7" x14ac:dyDescent="0.5">
      <c r="A114" s="5">
        <v>1870300055</v>
      </c>
      <c r="B114" s="6" t="s">
        <v>129</v>
      </c>
      <c r="C114" t="s">
        <v>389</v>
      </c>
      <c r="D114" t="s">
        <v>265</v>
      </c>
      <c r="E114" s="6" t="s">
        <v>434</v>
      </c>
      <c r="G114" t="e">
        <f>VLOOKUP(D114,data!$C$2:$U$103,5,FALSE)</f>
        <v>#N/A</v>
      </c>
    </row>
    <row r="115" spans="1:7" x14ac:dyDescent="0.5">
      <c r="A115" s="5">
        <v>1680300329</v>
      </c>
      <c r="B115" s="6" t="s">
        <v>130</v>
      </c>
      <c r="C115" t="s">
        <v>390</v>
      </c>
      <c r="D115" t="s">
        <v>266</v>
      </c>
      <c r="E115" s="6" t="s">
        <v>434</v>
      </c>
      <c r="G115" t="e">
        <f>VLOOKUP(D115,data!$C$2:$U$103,5,FALSE)</f>
        <v>#N/A</v>
      </c>
    </row>
    <row r="116" spans="1:7" x14ac:dyDescent="0.5">
      <c r="A116" s="5">
        <v>2910300192</v>
      </c>
      <c r="B116" s="6" t="s">
        <v>131</v>
      </c>
      <c r="C116" t="s">
        <v>391</v>
      </c>
      <c r="D116" t="s">
        <v>267</v>
      </c>
      <c r="E116" s="6" t="s">
        <v>435</v>
      </c>
      <c r="G116" t="e">
        <f>VLOOKUP(D116,data!$C$2:$U$103,5,FALSE)</f>
        <v>#N/A</v>
      </c>
    </row>
    <row r="117" spans="1:7" x14ac:dyDescent="0.5">
      <c r="A117" s="5">
        <v>2940300006</v>
      </c>
      <c r="B117" s="6" t="s">
        <v>132</v>
      </c>
      <c r="C117" t="s">
        <v>392</v>
      </c>
      <c r="D117" t="s">
        <v>268</v>
      </c>
      <c r="E117" s="6" t="s">
        <v>435</v>
      </c>
      <c r="G117" t="e">
        <f>VLOOKUP(D117,data!$C$2:$U$103,5,FALSE)</f>
        <v>#N/A</v>
      </c>
    </row>
    <row r="118" spans="1:7" x14ac:dyDescent="0.5">
      <c r="A118" s="5">
        <v>1930300052</v>
      </c>
      <c r="B118" s="6" t="s">
        <v>133</v>
      </c>
      <c r="C118" t="s">
        <v>393</v>
      </c>
      <c r="D118" t="s">
        <v>269</v>
      </c>
      <c r="E118" s="6" t="s">
        <v>434</v>
      </c>
      <c r="G118" t="e">
        <f>VLOOKUP(D118,data!$C$2:$U$103,5,FALSE)</f>
        <v>#N/A</v>
      </c>
    </row>
    <row r="119" spans="1:7" x14ac:dyDescent="0.5">
      <c r="A119" s="5">
        <v>2981400029</v>
      </c>
      <c r="B119" s="6" t="s">
        <v>134</v>
      </c>
      <c r="C119" t="s">
        <v>394</v>
      </c>
      <c r="D119" t="s">
        <v>270</v>
      </c>
      <c r="E119" s="6" t="s">
        <v>435</v>
      </c>
      <c r="G119" t="e">
        <f>VLOOKUP(D119,data!$C$2:$U$103,5,FALSE)</f>
        <v>#N/A</v>
      </c>
    </row>
    <row r="120" spans="1:7" x14ac:dyDescent="0.5">
      <c r="A120" s="5">
        <v>2960300101</v>
      </c>
      <c r="B120" s="6" t="s">
        <v>135</v>
      </c>
      <c r="C120" t="s">
        <v>395</v>
      </c>
      <c r="D120" t="s">
        <v>271</v>
      </c>
      <c r="E120" s="6" t="s">
        <v>435</v>
      </c>
      <c r="G120" t="e">
        <f>VLOOKUP(D120,data!$C$2:$U$103,5,FALSE)</f>
        <v>#N/A</v>
      </c>
    </row>
    <row r="121" spans="1:7" x14ac:dyDescent="0.5">
      <c r="A121" s="5">
        <v>1980300018</v>
      </c>
      <c r="B121" s="6" t="s">
        <v>136</v>
      </c>
      <c r="C121" t="s">
        <v>396</v>
      </c>
      <c r="D121" t="s">
        <v>272</v>
      </c>
      <c r="E121" s="6" t="s">
        <v>434</v>
      </c>
      <c r="G121" t="e">
        <f>VLOOKUP(D121,data!$C$2:$U$103,5,FALSE)</f>
        <v>#N/A</v>
      </c>
    </row>
    <row r="122" spans="1:7" x14ac:dyDescent="0.5">
      <c r="A122" s="5">
        <v>2980300044</v>
      </c>
      <c r="B122" s="6" t="s">
        <v>137</v>
      </c>
      <c r="C122" t="s">
        <v>397</v>
      </c>
      <c r="D122" t="s">
        <v>273</v>
      </c>
      <c r="E122" s="6" t="s">
        <v>435</v>
      </c>
      <c r="G122" t="e">
        <f>VLOOKUP(D122,data!$C$2:$U$103,5,FALSE)</f>
        <v>#N/A</v>
      </c>
    </row>
    <row r="123" spans="1:7" x14ac:dyDescent="0.5">
      <c r="A123" s="5">
        <v>1960300052</v>
      </c>
      <c r="B123" s="6" t="s">
        <v>138</v>
      </c>
      <c r="C123" t="s">
        <v>398</v>
      </c>
      <c r="D123" t="s">
        <v>274</v>
      </c>
      <c r="E123" s="6" t="s">
        <v>434</v>
      </c>
      <c r="G123" t="e">
        <f>VLOOKUP(D123,data!$C$2:$U$103,5,FALSE)</f>
        <v>#N/A</v>
      </c>
    </row>
    <row r="124" spans="1:7" x14ac:dyDescent="0.5">
      <c r="A124" s="5">
        <v>2960300120</v>
      </c>
      <c r="B124" s="6" t="s">
        <v>139</v>
      </c>
      <c r="C124" t="s">
        <v>399</v>
      </c>
      <c r="D124" t="s">
        <v>275</v>
      </c>
      <c r="E124" s="6" t="s">
        <v>435</v>
      </c>
      <c r="G124" t="e">
        <f>VLOOKUP(D124,data!$C$2:$U$103,5,FALSE)</f>
        <v>#N/A</v>
      </c>
    </row>
    <row r="125" spans="1:7" x14ac:dyDescent="0.5">
      <c r="A125" s="5">
        <v>100002</v>
      </c>
      <c r="B125" s="6" t="s">
        <v>140</v>
      </c>
      <c r="C125" t="s">
        <v>400</v>
      </c>
      <c r="D125" t="s">
        <v>276</v>
      </c>
      <c r="E125" s="6" t="s">
        <v>434</v>
      </c>
      <c r="G125" t="e">
        <f>VLOOKUP(D125,data!$C$2:$U$103,5,FALSE)</f>
        <v>#N/A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F1:L1 A1:C1 F6:F45 H5:L5 F3:F4 F2 H2:L2 H6:L45 H3:L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03"/>
  <sheetViews>
    <sheetView topLeftCell="A22" workbookViewId="0">
      <selection activeCell="H37" sqref="H37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773</v>
      </c>
      <c r="B1" s="11" t="s">
        <v>774</v>
      </c>
      <c r="C1" s="11" t="s">
        <v>775</v>
      </c>
      <c r="D1" s="11" t="s">
        <v>776</v>
      </c>
      <c r="E1" s="12" t="s">
        <v>787</v>
      </c>
      <c r="F1" s="11" t="s">
        <v>777</v>
      </c>
      <c r="G1" s="14" t="s">
        <v>778</v>
      </c>
      <c r="H1" s="13" t="s">
        <v>786</v>
      </c>
      <c r="I1" s="11" t="s">
        <v>779</v>
      </c>
      <c r="J1" s="12" t="s">
        <v>788</v>
      </c>
      <c r="K1" s="11" t="s">
        <v>789</v>
      </c>
      <c r="L1" s="11" t="s">
        <v>780</v>
      </c>
      <c r="N1" s="11" t="s">
        <v>781</v>
      </c>
      <c r="P1" s="11" t="s">
        <v>782</v>
      </c>
      <c r="S1" s="11" t="s">
        <v>783</v>
      </c>
      <c r="T1" s="12" t="s">
        <v>784</v>
      </c>
      <c r="U1" s="11" t="s">
        <v>785</v>
      </c>
    </row>
    <row r="2" spans="1:22" x14ac:dyDescent="0.5">
      <c r="A2" s="7">
        <v>1</v>
      </c>
      <c r="B2" s="7" t="s">
        <v>77</v>
      </c>
      <c r="C2" s="7" t="s">
        <v>212</v>
      </c>
      <c r="D2" s="7" t="s">
        <v>437</v>
      </c>
      <c r="E2" s="8">
        <v>25123</v>
      </c>
      <c r="F2" s="7">
        <v>1680800830</v>
      </c>
      <c r="G2" s="15" t="s">
        <v>659</v>
      </c>
      <c r="H2" s="9">
        <v>10000165514919</v>
      </c>
      <c r="I2" s="7" t="s">
        <v>436</v>
      </c>
      <c r="J2" s="7" t="s">
        <v>459</v>
      </c>
      <c r="K2" s="7" t="s">
        <v>446</v>
      </c>
      <c r="L2" s="7" t="s">
        <v>454</v>
      </c>
      <c r="M2" s="7" t="s">
        <v>442</v>
      </c>
      <c r="N2" s="7" t="s">
        <v>569</v>
      </c>
      <c r="O2" s="7" t="s">
        <v>444</v>
      </c>
      <c r="R2" s="7" t="s">
        <v>445</v>
      </c>
      <c r="T2" s="7" t="s">
        <v>660</v>
      </c>
    </row>
    <row r="3" spans="1:22" x14ac:dyDescent="0.5">
      <c r="A3" s="7">
        <v>2</v>
      </c>
      <c r="B3" s="7" t="s">
        <v>78</v>
      </c>
      <c r="C3" s="7" t="s">
        <v>213</v>
      </c>
      <c r="D3" s="7" t="s">
        <v>472</v>
      </c>
      <c r="E3" s="8">
        <v>25515</v>
      </c>
      <c r="F3" s="7">
        <v>2690300192</v>
      </c>
      <c r="G3" s="15" t="s">
        <v>661</v>
      </c>
      <c r="H3" s="9">
        <v>10000165298515</v>
      </c>
      <c r="I3" s="7" t="s">
        <v>436</v>
      </c>
      <c r="J3" s="7" t="s">
        <v>662</v>
      </c>
      <c r="K3" s="7" t="s">
        <v>663</v>
      </c>
      <c r="L3" s="7" t="s">
        <v>449</v>
      </c>
      <c r="M3" s="7" t="s">
        <v>442</v>
      </c>
      <c r="N3" s="7" t="s">
        <v>569</v>
      </c>
      <c r="O3" s="7" t="s">
        <v>444</v>
      </c>
      <c r="R3" s="7" t="s">
        <v>445</v>
      </c>
      <c r="T3" s="7" t="s">
        <v>660</v>
      </c>
    </row>
    <row r="4" spans="1:22" x14ac:dyDescent="0.5">
      <c r="A4" s="7">
        <v>3</v>
      </c>
      <c r="B4" s="7" t="s">
        <v>79</v>
      </c>
      <c r="C4" s="7" t="s">
        <v>214</v>
      </c>
      <c r="D4" s="7" t="s">
        <v>437</v>
      </c>
      <c r="E4" s="8">
        <v>29540</v>
      </c>
      <c r="F4" s="7">
        <v>1800800450</v>
      </c>
      <c r="G4" s="15" t="s">
        <v>664</v>
      </c>
      <c r="H4" s="9">
        <v>10000165503414</v>
      </c>
      <c r="I4" s="7" t="s">
        <v>436</v>
      </c>
      <c r="J4" s="7" t="s">
        <v>514</v>
      </c>
      <c r="K4" s="7" t="s">
        <v>451</v>
      </c>
      <c r="L4" s="7" t="s">
        <v>665</v>
      </c>
      <c r="M4" s="7" t="s">
        <v>442</v>
      </c>
      <c r="N4" s="7" t="s">
        <v>665</v>
      </c>
      <c r="O4" s="7" t="s">
        <v>442</v>
      </c>
      <c r="R4" s="7" t="s">
        <v>445</v>
      </c>
      <c r="T4" s="7" t="s">
        <v>660</v>
      </c>
    </row>
    <row r="5" spans="1:22" x14ac:dyDescent="0.5">
      <c r="A5" s="7">
        <v>4</v>
      </c>
      <c r="B5" s="7" t="s">
        <v>82</v>
      </c>
      <c r="C5" s="7" t="s">
        <v>217</v>
      </c>
      <c r="D5" s="7" t="s">
        <v>437</v>
      </c>
      <c r="E5" s="8">
        <v>30449</v>
      </c>
      <c r="F5" s="7">
        <v>1831200363</v>
      </c>
      <c r="G5" s="15" t="s">
        <v>666</v>
      </c>
      <c r="H5" s="9">
        <v>10000165492818</v>
      </c>
      <c r="I5" s="7" t="s">
        <v>436</v>
      </c>
      <c r="J5" s="7" t="s">
        <v>514</v>
      </c>
      <c r="K5" s="7" t="s">
        <v>667</v>
      </c>
      <c r="L5" s="7" t="s">
        <v>460</v>
      </c>
      <c r="M5" s="7" t="s">
        <v>442</v>
      </c>
      <c r="N5" s="7" t="s">
        <v>569</v>
      </c>
      <c r="O5" s="7" t="s">
        <v>444</v>
      </c>
      <c r="R5" s="7" t="s">
        <v>445</v>
      </c>
      <c r="T5" s="7" t="s">
        <v>660</v>
      </c>
    </row>
    <row r="6" spans="1:22" x14ac:dyDescent="0.5">
      <c r="A6" s="7">
        <v>5</v>
      </c>
      <c r="B6" s="7" t="s">
        <v>95</v>
      </c>
      <c r="C6" s="7" t="s">
        <v>231</v>
      </c>
      <c r="D6" s="7" t="s">
        <v>437</v>
      </c>
      <c r="E6" s="8">
        <v>25274</v>
      </c>
      <c r="F6" s="7">
        <v>1690300388</v>
      </c>
      <c r="G6" s="15" t="s">
        <v>668</v>
      </c>
      <c r="H6" s="9">
        <v>10000165446212</v>
      </c>
      <c r="I6" s="7" t="s">
        <v>436</v>
      </c>
      <c r="J6" s="7" t="s">
        <v>669</v>
      </c>
      <c r="K6" s="7" t="s">
        <v>670</v>
      </c>
      <c r="L6" s="7" t="s">
        <v>536</v>
      </c>
      <c r="M6" s="7" t="s">
        <v>671</v>
      </c>
      <c r="N6" s="7" t="s">
        <v>536</v>
      </c>
      <c r="O6" s="7" t="s">
        <v>444</v>
      </c>
      <c r="R6" s="7" t="s">
        <v>445</v>
      </c>
      <c r="T6" s="7" t="s">
        <v>672</v>
      </c>
      <c r="V6" s="7" t="s">
        <v>673</v>
      </c>
    </row>
    <row r="7" spans="1:22" x14ac:dyDescent="0.5">
      <c r="A7" s="7">
        <v>6</v>
      </c>
      <c r="B7" s="7" t="s">
        <v>107</v>
      </c>
      <c r="C7" s="7" t="s">
        <v>243</v>
      </c>
      <c r="D7" s="7" t="s">
        <v>437</v>
      </c>
      <c r="E7" s="8">
        <v>25326</v>
      </c>
      <c r="F7" s="7">
        <v>1690300603</v>
      </c>
      <c r="G7" s="15" t="s">
        <v>674</v>
      </c>
      <c r="H7" s="9">
        <v>10000166471919</v>
      </c>
      <c r="I7" s="7" t="s">
        <v>436</v>
      </c>
      <c r="J7" s="7" t="s">
        <v>637</v>
      </c>
      <c r="K7" s="7" t="s">
        <v>675</v>
      </c>
      <c r="L7" s="7" t="s">
        <v>536</v>
      </c>
      <c r="M7" s="7" t="s">
        <v>676</v>
      </c>
      <c r="N7" s="7" t="s">
        <v>569</v>
      </c>
      <c r="O7" s="7" t="s">
        <v>444</v>
      </c>
      <c r="R7" s="7" t="s">
        <v>445</v>
      </c>
      <c r="T7" s="7" t="s">
        <v>660</v>
      </c>
    </row>
    <row r="8" spans="1:22" x14ac:dyDescent="0.5">
      <c r="A8" s="7">
        <v>7</v>
      </c>
      <c r="B8" s="7" t="s">
        <v>80</v>
      </c>
      <c r="C8" s="7" t="s">
        <v>215</v>
      </c>
      <c r="D8" s="7" t="s">
        <v>437</v>
      </c>
      <c r="E8" s="8">
        <v>24907</v>
      </c>
      <c r="F8" s="7">
        <v>1680300367</v>
      </c>
      <c r="G8" s="15" t="s">
        <v>677</v>
      </c>
      <c r="H8" s="9">
        <v>10000165441313</v>
      </c>
      <c r="I8" s="7" t="s">
        <v>436</v>
      </c>
      <c r="J8" s="7" t="s">
        <v>678</v>
      </c>
      <c r="K8" s="7" t="s">
        <v>482</v>
      </c>
      <c r="L8" s="7" t="s">
        <v>597</v>
      </c>
      <c r="M8" s="7" t="s">
        <v>676</v>
      </c>
      <c r="N8" s="7" t="s">
        <v>569</v>
      </c>
      <c r="O8" s="7" t="s">
        <v>444</v>
      </c>
      <c r="R8" s="7" t="s">
        <v>445</v>
      </c>
      <c r="T8" s="7" t="s">
        <v>660</v>
      </c>
    </row>
    <row r="9" spans="1:22" x14ac:dyDescent="0.5">
      <c r="A9" s="7">
        <v>8</v>
      </c>
      <c r="B9" s="7" t="s">
        <v>94</v>
      </c>
      <c r="C9" s="7" t="s">
        <v>230</v>
      </c>
      <c r="D9" s="7" t="s">
        <v>472</v>
      </c>
      <c r="E9" s="8">
        <v>24991</v>
      </c>
      <c r="F9" s="7">
        <v>2680300175</v>
      </c>
      <c r="G9" s="15" t="s">
        <v>679</v>
      </c>
      <c r="H9" s="9">
        <v>10000165498010</v>
      </c>
      <c r="I9" s="7" t="s">
        <v>436</v>
      </c>
      <c r="J9" s="7" t="s">
        <v>680</v>
      </c>
      <c r="K9" s="7" t="s">
        <v>482</v>
      </c>
      <c r="L9" s="7" t="s">
        <v>454</v>
      </c>
      <c r="M9" s="7" t="s">
        <v>676</v>
      </c>
      <c r="N9" s="7" t="s">
        <v>466</v>
      </c>
      <c r="O9" s="7" t="s">
        <v>442</v>
      </c>
      <c r="R9" s="7" t="s">
        <v>445</v>
      </c>
      <c r="T9" s="7" t="s">
        <v>660</v>
      </c>
    </row>
    <row r="10" spans="1:22" x14ac:dyDescent="0.5">
      <c r="A10" s="7">
        <v>9</v>
      </c>
      <c r="B10" s="7" t="s">
        <v>112</v>
      </c>
      <c r="C10" s="7" t="s">
        <v>248</v>
      </c>
      <c r="D10" s="7" t="s">
        <v>437</v>
      </c>
      <c r="E10" s="8">
        <v>34275</v>
      </c>
      <c r="F10" s="7">
        <v>1931000087</v>
      </c>
      <c r="G10" s="15" t="s">
        <v>681</v>
      </c>
      <c r="H10" s="10" t="s">
        <v>790</v>
      </c>
      <c r="I10" s="7" t="s">
        <v>436</v>
      </c>
      <c r="J10" s="7" t="s">
        <v>682</v>
      </c>
      <c r="K10" s="7" t="s">
        <v>683</v>
      </c>
      <c r="L10" s="7" t="s">
        <v>684</v>
      </c>
      <c r="M10" s="7" t="s">
        <v>442</v>
      </c>
      <c r="N10" s="7" t="s">
        <v>685</v>
      </c>
      <c r="O10" s="7" t="s">
        <v>444</v>
      </c>
      <c r="R10" s="7" t="s">
        <v>445</v>
      </c>
      <c r="T10" s="7" t="s">
        <v>672</v>
      </c>
      <c r="V10" s="7" t="s">
        <v>673</v>
      </c>
    </row>
    <row r="11" spans="1:22" x14ac:dyDescent="0.5">
      <c r="A11" s="7">
        <v>10</v>
      </c>
      <c r="B11" s="7" t="s">
        <v>686</v>
      </c>
      <c r="C11" s="7" t="s">
        <v>244</v>
      </c>
      <c r="D11" s="7" t="s">
        <v>472</v>
      </c>
      <c r="E11" s="8">
        <v>24857</v>
      </c>
      <c r="F11" s="7">
        <v>2680300182</v>
      </c>
      <c r="G11" s="15" t="s">
        <v>687</v>
      </c>
      <c r="H11" s="9">
        <v>10000165520818</v>
      </c>
      <c r="I11" s="7" t="s">
        <v>436</v>
      </c>
      <c r="J11" s="7" t="s">
        <v>688</v>
      </c>
      <c r="K11" s="7" t="s">
        <v>683</v>
      </c>
      <c r="L11" s="7" t="s">
        <v>689</v>
      </c>
      <c r="M11" s="7" t="s">
        <v>676</v>
      </c>
      <c r="N11" s="7" t="s">
        <v>689</v>
      </c>
      <c r="O11" s="7" t="s">
        <v>676</v>
      </c>
      <c r="T11" s="7" t="s">
        <v>660</v>
      </c>
    </row>
    <row r="12" spans="1:22" x14ac:dyDescent="0.5">
      <c r="A12" s="7">
        <v>11</v>
      </c>
      <c r="B12" s="7" t="s">
        <v>690</v>
      </c>
      <c r="C12" s="7" t="s">
        <v>218</v>
      </c>
      <c r="D12" s="7" t="s">
        <v>437</v>
      </c>
      <c r="E12" s="8">
        <v>31518</v>
      </c>
      <c r="F12" s="7">
        <v>1860300283</v>
      </c>
      <c r="G12" s="15" t="s">
        <v>691</v>
      </c>
      <c r="H12" s="9">
        <v>10000045408424</v>
      </c>
      <c r="I12" s="7" t="s">
        <v>436</v>
      </c>
      <c r="J12" s="7" t="s">
        <v>545</v>
      </c>
      <c r="K12" s="7" t="s">
        <v>683</v>
      </c>
      <c r="L12" s="7" t="s">
        <v>692</v>
      </c>
      <c r="M12" s="7" t="s">
        <v>442</v>
      </c>
      <c r="N12" s="7" t="s">
        <v>569</v>
      </c>
      <c r="O12" s="7" t="s">
        <v>444</v>
      </c>
      <c r="R12" s="7" t="s">
        <v>445</v>
      </c>
      <c r="T12" s="7" t="s">
        <v>672</v>
      </c>
      <c r="V12" s="7" t="s">
        <v>673</v>
      </c>
    </row>
    <row r="13" spans="1:22" x14ac:dyDescent="0.5">
      <c r="A13" s="7">
        <v>12</v>
      </c>
      <c r="B13" s="7" t="s">
        <v>109</v>
      </c>
      <c r="C13" s="7" t="s">
        <v>245</v>
      </c>
      <c r="D13" s="7" t="s">
        <v>437</v>
      </c>
      <c r="E13" s="8">
        <v>25267</v>
      </c>
      <c r="F13" s="7">
        <v>1690300349</v>
      </c>
      <c r="G13" s="15" t="s">
        <v>693</v>
      </c>
      <c r="H13" s="9">
        <v>10000016861010</v>
      </c>
      <c r="I13" s="7" t="s">
        <v>436</v>
      </c>
      <c r="J13" s="7" t="s">
        <v>694</v>
      </c>
      <c r="K13" s="7" t="s">
        <v>683</v>
      </c>
      <c r="L13" s="7" t="s">
        <v>695</v>
      </c>
      <c r="M13" s="7" t="s">
        <v>696</v>
      </c>
      <c r="N13" s="7" t="s">
        <v>695</v>
      </c>
      <c r="O13" s="7" t="s">
        <v>696</v>
      </c>
      <c r="T13" s="7" t="s">
        <v>660</v>
      </c>
    </row>
    <row r="14" spans="1:22" x14ac:dyDescent="0.5">
      <c r="A14" s="7">
        <v>13</v>
      </c>
      <c r="B14" s="7" t="s">
        <v>113</v>
      </c>
      <c r="C14" s="7" t="s">
        <v>249</v>
      </c>
      <c r="D14" s="7" t="s">
        <v>437</v>
      </c>
      <c r="E14" s="8">
        <v>35192</v>
      </c>
      <c r="F14" s="7">
        <v>1960300210</v>
      </c>
      <c r="G14" s="15" t="s">
        <v>697</v>
      </c>
      <c r="H14" s="9">
        <v>10000291865219</v>
      </c>
      <c r="I14" s="7" t="s">
        <v>436</v>
      </c>
      <c r="J14" s="7" t="s">
        <v>682</v>
      </c>
      <c r="K14" s="7" t="s">
        <v>683</v>
      </c>
      <c r="L14" s="7" t="s">
        <v>684</v>
      </c>
      <c r="M14" s="7" t="s">
        <v>442</v>
      </c>
      <c r="N14" s="7" t="s">
        <v>698</v>
      </c>
      <c r="O14" s="7" t="s">
        <v>444</v>
      </c>
      <c r="R14" s="7" t="s">
        <v>445</v>
      </c>
      <c r="T14" s="7" t="s">
        <v>660</v>
      </c>
    </row>
    <row r="15" spans="1:22" x14ac:dyDescent="0.5">
      <c r="A15" s="7">
        <v>14</v>
      </c>
      <c r="B15" s="7" t="s">
        <v>116</v>
      </c>
      <c r="C15" s="7" t="s">
        <v>772</v>
      </c>
      <c r="D15" s="7" t="s">
        <v>472</v>
      </c>
      <c r="E15" s="8">
        <v>29293</v>
      </c>
      <c r="F15" s="7">
        <v>2800300234</v>
      </c>
      <c r="G15" s="15" t="s">
        <v>791</v>
      </c>
      <c r="H15" s="9">
        <v>10000045319323</v>
      </c>
      <c r="I15" s="7" t="s">
        <v>436</v>
      </c>
      <c r="J15" s="7" t="s">
        <v>694</v>
      </c>
      <c r="K15" s="7" t="s">
        <v>683</v>
      </c>
      <c r="L15" s="7" t="s">
        <v>699</v>
      </c>
      <c r="M15" s="7" t="s">
        <v>696</v>
      </c>
      <c r="N15" s="7" t="s">
        <v>700</v>
      </c>
      <c r="O15" s="7" t="s">
        <v>442</v>
      </c>
      <c r="R15" s="7" t="s">
        <v>445</v>
      </c>
      <c r="T15" s="7" t="s">
        <v>660</v>
      </c>
    </row>
    <row r="16" spans="1:22" x14ac:dyDescent="0.5">
      <c r="A16" s="7">
        <v>15</v>
      </c>
      <c r="B16" s="7" t="s">
        <v>81</v>
      </c>
      <c r="C16" s="7" t="s">
        <v>216</v>
      </c>
      <c r="D16" s="7" t="s">
        <v>472</v>
      </c>
      <c r="E16" s="8">
        <v>25118</v>
      </c>
      <c r="F16" s="7">
        <v>2680300173</v>
      </c>
      <c r="G16" s="15" t="s">
        <v>701</v>
      </c>
      <c r="H16" s="9">
        <v>10000067479616</v>
      </c>
      <c r="I16" s="7" t="s">
        <v>436</v>
      </c>
      <c r="J16" s="7" t="s">
        <v>702</v>
      </c>
      <c r="K16" s="7" t="s">
        <v>670</v>
      </c>
      <c r="L16" s="7" t="s">
        <v>703</v>
      </c>
      <c r="M16" s="7" t="s">
        <v>696</v>
      </c>
      <c r="N16" s="7" t="s">
        <v>703</v>
      </c>
      <c r="O16" s="7" t="s">
        <v>696</v>
      </c>
      <c r="R16" s="7" t="s">
        <v>704</v>
      </c>
      <c r="T16" s="7" t="s">
        <v>672</v>
      </c>
      <c r="U16" s="7" t="s">
        <v>705</v>
      </c>
    </row>
    <row r="17" spans="1:21" x14ac:dyDescent="0.5">
      <c r="A17" s="7">
        <v>16</v>
      </c>
      <c r="B17" s="7" t="s">
        <v>706</v>
      </c>
      <c r="C17" s="7" t="s">
        <v>225</v>
      </c>
      <c r="D17" s="7" t="s">
        <v>472</v>
      </c>
      <c r="E17" s="8">
        <v>32033</v>
      </c>
      <c r="F17" s="7">
        <v>2871400116</v>
      </c>
      <c r="G17" s="15" t="s">
        <v>792</v>
      </c>
      <c r="H17" s="9">
        <v>10000026043818</v>
      </c>
      <c r="I17" s="7" t="s">
        <v>436</v>
      </c>
      <c r="J17" s="7" t="s">
        <v>551</v>
      </c>
      <c r="K17" s="7" t="s">
        <v>670</v>
      </c>
      <c r="L17" s="7" t="s">
        <v>532</v>
      </c>
      <c r="M17" s="7" t="s">
        <v>442</v>
      </c>
      <c r="N17" s="7" t="s">
        <v>532</v>
      </c>
      <c r="O17" s="7" t="s">
        <v>442</v>
      </c>
      <c r="T17" s="7" t="s">
        <v>672</v>
      </c>
      <c r="U17" s="7" t="s">
        <v>707</v>
      </c>
    </row>
    <row r="18" spans="1:21" x14ac:dyDescent="0.5">
      <c r="A18" s="7">
        <v>17</v>
      </c>
      <c r="B18" s="7" t="s">
        <v>87</v>
      </c>
      <c r="C18" s="7" t="s">
        <v>223</v>
      </c>
      <c r="D18" s="7" t="s">
        <v>437</v>
      </c>
      <c r="E18" s="8">
        <v>31268</v>
      </c>
      <c r="F18" s="7">
        <v>1850800312</v>
      </c>
      <c r="G18" s="15" t="s">
        <v>708</v>
      </c>
      <c r="H18" s="9">
        <v>10000165294010</v>
      </c>
      <c r="I18" s="7" t="s">
        <v>436</v>
      </c>
      <c r="J18" s="7" t="s">
        <v>551</v>
      </c>
      <c r="K18" s="7" t="s">
        <v>670</v>
      </c>
      <c r="L18" s="7" t="s">
        <v>709</v>
      </c>
      <c r="M18" s="7" t="s">
        <v>442</v>
      </c>
      <c r="N18" s="7" t="s">
        <v>710</v>
      </c>
      <c r="O18" s="7" t="s">
        <v>442</v>
      </c>
      <c r="R18" s="7" t="s">
        <v>711</v>
      </c>
      <c r="T18" s="7" t="s">
        <v>672</v>
      </c>
      <c r="U18" s="7" t="s">
        <v>460</v>
      </c>
    </row>
    <row r="19" spans="1:21" x14ac:dyDescent="0.5">
      <c r="A19" s="7">
        <v>18</v>
      </c>
      <c r="B19" s="7" t="s">
        <v>84</v>
      </c>
      <c r="C19" s="7" t="s">
        <v>220</v>
      </c>
      <c r="D19" s="7" t="s">
        <v>437</v>
      </c>
      <c r="E19" s="8">
        <v>33169</v>
      </c>
      <c r="F19" s="7">
        <v>1901200129</v>
      </c>
      <c r="G19" s="15" t="s">
        <v>712</v>
      </c>
      <c r="H19" s="9">
        <v>10000197599010</v>
      </c>
      <c r="I19" s="7" t="s">
        <v>436</v>
      </c>
      <c r="J19" s="7" t="s">
        <v>514</v>
      </c>
      <c r="K19" s="7" t="s">
        <v>670</v>
      </c>
      <c r="L19" s="7" t="s">
        <v>449</v>
      </c>
      <c r="M19" s="7" t="s">
        <v>442</v>
      </c>
      <c r="N19" s="7" t="s">
        <v>449</v>
      </c>
      <c r="O19" s="7" t="s">
        <v>444</v>
      </c>
      <c r="R19" s="7" t="s">
        <v>713</v>
      </c>
      <c r="T19" s="7" t="s">
        <v>672</v>
      </c>
      <c r="U19" s="7" t="s">
        <v>449</v>
      </c>
    </row>
    <row r="20" spans="1:21" x14ac:dyDescent="0.5">
      <c r="A20" s="7">
        <v>19</v>
      </c>
      <c r="B20" s="7" t="s">
        <v>92</v>
      </c>
      <c r="C20" s="7" t="s">
        <v>228</v>
      </c>
      <c r="D20" s="7" t="s">
        <v>437</v>
      </c>
      <c r="E20" s="8">
        <v>33109</v>
      </c>
      <c r="F20" s="7">
        <v>1901200130</v>
      </c>
      <c r="G20" s="15" t="s">
        <v>793</v>
      </c>
      <c r="H20" s="9">
        <v>10000197026111</v>
      </c>
      <c r="I20" s="7" t="s">
        <v>436</v>
      </c>
      <c r="J20" s="7" t="s">
        <v>614</v>
      </c>
      <c r="K20" s="7" t="s">
        <v>670</v>
      </c>
      <c r="L20" s="7" t="s">
        <v>714</v>
      </c>
      <c r="M20" s="7" t="s">
        <v>442</v>
      </c>
      <c r="N20" s="7" t="s">
        <v>569</v>
      </c>
      <c r="O20" s="7" t="s">
        <v>444</v>
      </c>
      <c r="R20" s="7" t="s">
        <v>516</v>
      </c>
      <c r="T20" s="7" t="s">
        <v>672</v>
      </c>
      <c r="U20" s="7" t="s">
        <v>715</v>
      </c>
    </row>
    <row r="21" spans="1:21" x14ac:dyDescent="0.5">
      <c r="A21" s="7">
        <v>20</v>
      </c>
      <c r="B21" s="7" t="s">
        <v>90</v>
      </c>
      <c r="C21" s="7" t="s">
        <v>226</v>
      </c>
      <c r="D21" s="7" t="s">
        <v>472</v>
      </c>
      <c r="E21" s="8">
        <v>33046</v>
      </c>
      <c r="F21" s="7">
        <v>2900300321</v>
      </c>
      <c r="G21" s="15" t="s">
        <v>716</v>
      </c>
      <c r="H21" s="9">
        <v>10000197073111</v>
      </c>
      <c r="I21" s="7" t="s">
        <v>436</v>
      </c>
      <c r="J21" s="7" t="s">
        <v>551</v>
      </c>
      <c r="K21" s="7" t="s">
        <v>670</v>
      </c>
      <c r="L21" s="7" t="s">
        <v>454</v>
      </c>
      <c r="M21" s="7" t="s">
        <v>442</v>
      </c>
      <c r="N21" s="7" t="s">
        <v>454</v>
      </c>
      <c r="O21" s="7" t="s">
        <v>444</v>
      </c>
      <c r="R21" s="7" t="s">
        <v>717</v>
      </c>
      <c r="T21" s="7" t="s">
        <v>672</v>
      </c>
      <c r="U21" s="7" t="s">
        <v>718</v>
      </c>
    </row>
    <row r="22" spans="1:21" x14ac:dyDescent="0.5">
      <c r="A22" s="7">
        <v>21</v>
      </c>
      <c r="B22" s="7" t="s">
        <v>88</v>
      </c>
      <c r="C22" s="7" t="s">
        <v>224</v>
      </c>
      <c r="D22" s="7" t="s">
        <v>437</v>
      </c>
      <c r="E22" s="8">
        <v>31175</v>
      </c>
      <c r="F22" s="7">
        <v>1850300085</v>
      </c>
      <c r="G22" s="15" t="s">
        <v>794</v>
      </c>
      <c r="H22" s="9">
        <v>10000170805010</v>
      </c>
      <c r="I22" s="7" t="s">
        <v>436</v>
      </c>
      <c r="J22" s="7" t="s">
        <v>551</v>
      </c>
      <c r="K22" s="7" t="s">
        <v>670</v>
      </c>
      <c r="L22" s="7" t="s">
        <v>719</v>
      </c>
      <c r="M22" s="7" t="s">
        <v>442</v>
      </c>
      <c r="N22" s="7" t="s">
        <v>536</v>
      </c>
      <c r="O22" s="7" t="s">
        <v>444</v>
      </c>
      <c r="R22" s="7" t="s">
        <v>445</v>
      </c>
      <c r="T22" s="7" t="s">
        <v>672</v>
      </c>
      <c r="U22" s="7" t="s">
        <v>719</v>
      </c>
    </row>
    <row r="23" spans="1:21" x14ac:dyDescent="0.5">
      <c r="A23" s="7">
        <v>22</v>
      </c>
      <c r="B23" s="7" t="s">
        <v>91</v>
      </c>
      <c r="C23" s="7" t="s">
        <v>227</v>
      </c>
      <c r="D23" s="7" t="s">
        <v>472</v>
      </c>
      <c r="E23" s="8">
        <v>32011</v>
      </c>
      <c r="F23" s="7">
        <v>2870300008</v>
      </c>
      <c r="G23" s="15" t="s">
        <v>720</v>
      </c>
      <c r="H23" s="9">
        <v>10000054775111</v>
      </c>
      <c r="I23" s="7" t="s">
        <v>436</v>
      </c>
      <c r="J23" s="7" t="s">
        <v>614</v>
      </c>
      <c r="K23" s="7" t="s">
        <v>670</v>
      </c>
      <c r="L23" s="7" t="s">
        <v>536</v>
      </c>
      <c r="M23" s="7" t="s">
        <v>442</v>
      </c>
      <c r="N23" s="7" t="s">
        <v>721</v>
      </c>
      <c r="O23" s="7" t="s">
        <v>444</v>
      </c>
      <c r="R23" s="7" t="s">
        <v>445</v>
      </c>
      <c r="T23" s="7" t="s">
        <v>672</v>
      </c>
      <c r="U23" s="7" t="s">
        <v>722</v>
      </c>
    </row>
    <row r="24" spans="1:21" x14ac:dyDescent="0.5">
      <c r="A24" s="7">
        <v>23</v>
      </c>
      <c r="B24" s="7" t="s">
        <v>85</v>
      </c>
      <c r="C24" s="7" t="s">
        <v>221</v>
      </c>
      <c r="D24" s="7" t="s">
        <v>472</v>
      </c>
      <c r="E24" s="8">
        <v>24814</v>
      </c>
      <c r="F24" s="7">
        <v>2670800184</v>
      </c>
      <c r="G24" s="15" t="s">
        <v>723</v>
      </c>
      <c r="H24" s="9">
        <v>10000165500717</v>
      </c>
      <c r="I24" s="7" t="s">
        <v>436</v>
      </c>
      <c r="J24" s="7" t="s">
        <v>518</v>
      </c>
      <c r="K24" s="7" t="s">
        <v>670</v>
      </c>
      <c r="L24" s="7" t="s">
        <v>724</v>
      </c>
      <c r="M24" s="7" t="s">
        <v>696</v>
      </c>
      <c r="N24" s="7" t="s">
        <v>485</v>
      </c>
      <c r="O24" s="7" t="s">
        <v>442</v>
      </c>
      <c r="R24" s="7" t="s">
        <v>445</v>
      </c>
      <c r="T24" s="7" t="s">
        <v>672</v>
      </c>
      <c r="U24" s="7" t="s">
        <v>485</v>
      </c>
    </row>
    <row r="25" spans="1:21" x14ac:dyDescent="0.5">
      <c r="A25" s="7">
        <v>24</v>
      </c>
      <c r="B25" s="7" t="s">
        <v>83</v>
      </c>
      <c r="C25" s="7" t="s">
        <v>219</v>
      </c>
      <c r="D25" s="7" t="s">
        <v>472</v>
      </c>
      <c r="E25" s="8">
        <v>30458</v>
      </c>
      <c r="F25" s="7">
        <v>2830300017</v>
      </c>
      <c r="G25" s="15" t="s">
        <v>725</v>
      </c>
      <c r="H25" s="9">
        <v>34470169075416</v>
      </c>
      <c r="I25" s="7" t="s">
        <v>436</v>
      </c>
      <c r="J25" s="7" t="s">
        <v>514</v>
      </c>
      <c r="K25" s="7" t="s">
        <v>670</v>
      </c>
      <c r="L25" s="7" t="s">
        <v>479</v>
      </c>
      <c r="M25" s="7" t="s">
        <v>442</v>
      </c>
      <c r="N25" s="7" t="s">
        <v>573</v>
      </c>
      <c r="O25" s="7" t="s">
        <v>444</v>
      </c>
      <c r="R25" s="7" t="s">
        <v>445</v>
      </c>
      <c r="T25" s="7" t="s">
        <v>672</v>
      </c>
      <c r="U25" s="7" t="s">
        <v>573</v>
      </c>
    </row>
    <row r="26" spans="1:21" x14ac:dyDescent="0.5">
      <c r="A26" s="7">
        <v>25</v>
      </c>
      <c r="B26" s="7" t="s">
        <v>93</v>
      </c>
      <c r="C26" s="7" t="s">
        <v>229</v>
      </c>
      <c r="D26" s="7" t="s">
        <v>472</v>
      </c>
      <c r="E26" s="8">
        <v>31433</v>
      </c>
      <c r="F26" s="7">
        <v>2860300359</v>
      </c>
      <c r="G26" s="15" t="s">
        <v>726</v>
      </c>
      <c r="H26" s="9">
        <v>10000041490119</v>
      </c>
      <c r="I26" s="7" t="s">
        <v>436</v>
      </c>
      <c r="J26" s="7" t="s">
        <v>526</v>
      </c>
      <c r="K26" s="7" t="s">
        <v>670</v>
      </c>
      <c r="L26" s="7" t="s">
        <v>597</v>
      </c>
      <c r="M26" s="7" t="s">
        <v>442</v>
      </c>
      <c r="N26" s="7" t="s">
        <v>665</v>
      </c>
      <c r="O26" s="7" t="s">
        <v>442</v>
      </c>
      <c r="R26" s="7" t="s">
        <v>445</v>
      </c>
      <c r="T26" s="7" t="s">
        <v>672</v>
      </c>
      <c r="U26" s="7" t="s">
        <v>597</v>
      </c>
    </row>
    <row r="27" spans="1:21" x14ac:dyDescent="0.5">
      <c r="A27" s="7">
        <v>26</v>
      </c>
      <c r="B27" s="7" t="s">
        <v>727</v>
      </c>
      <c r="C27" s="7" t="s">
        <v>222</v>
      </c>
      <c r="D27" s="7" t="s">
        <v>437</v>
      </c>
      <c r="E27" s="8">
        <v>30805</v>
      </c>
      <c r="F27" s="7">
        <v>1840300396</v>
      </c>
      <c r="G27" s="15" t="s">
        <v>728</v>
      </c>
      <c r="H27" s="9">
        <v>10000165436616</v>
      </c>
      <c r="I27" s="7" t="s">
        <v>436</v>
      </c>
      <c r="J27" s="7" t="s">
        <v>551</v>
      </c>
      <c r="K27" s="7" t="s">
        <v>670</v>
      </c>
      <c r="L27" s="7" t="s">
        <v>729</v>
      </c>
      <c r="M27" s="7" t="s">
        <v>442</v>
      </c>
      <c r="N27" s="7" t="s">
        <v>729</v>
      </c>
      <c r="O27" s="7" t="s">
        <v>442</v>
      </c>
      <c r="R27" s="7" t="s">
        <v>445</v>
      </c>
      <c r="T27" s="7" t="s">
        <v>672</v>
      </c>
      <c r="U27" s="7" t="s">
        <v>460</v>
      </c>
    </row>
    <row r="28" spans="1:21" x14ac:dyDescent="0.5">
      <c r="A28" s="7">
        <v>27</v>
      </c>
      <c r="B28" s="7" t="s">
        <v>98</v>
      </c>
      <c r="C28" s="7" t="s">
        <v>234</v>
      </c>
      <c r="D28" s="7" t="s">
        <v>472</v>
      </c>
      <c r="E28" s="8">
        <v>25600</v>
      </c>
      <c r="F28" s="7">
        <v>2700300301</v>
      </c>
      <c r="G28" s="15" t="s">
        <v>730</v>
      </c>
      <c r="H28" s="9">
        <v>10000165508111</v>
      </c>
      <c r="I28" s="7" t="s">
        <v>436</v>
      </c>
      <c r="J28" s="7" t="s">
        <v>484</v>
      </c>
      <c r="K28" s="7" t="s">
        <v>670</v>
      </c>
      <c r="L28" s="7" t="s">
        <v>454</v>
      </c>
      <c r="M28" s="7" t="s">
        <v>671</v>
      </c>
      <c r="N28" s="7" t="s">
        <v>466</v>
      </c>
      <c r="O28" s="7" t="s">
        <v>671</v>
      </c>
      <c r="T28" s="7" t="s">
        <v>672</v>
      </c>
      <c r="U28" s="7" t="s">
        <v>718</v>
      </c>
    </row>
    <row r="29" spans="1:21" x14ac:dyDescent="0.5">
      <c r="A29" s="7">
        <v>28</v>
      </c>
      <c r="B29" s="7" t="s">
        <v>96</v>
      </c>
      <c r="C29" s="7" t="s">
        <v>232</v>
      </c>
      <c r="D29" s="7" t="s">
        <v>437</v>
      </c>
      <c r="E29" s="8">
        <v>25331</v>
      </c>
      <c r="F29" s="7">
        <v>1690300442</v>
      </c>
      <c r="G29" s="15" t="s">
        <v>731</v>
      </c>
      <c r="H29" s="9">
        <v>10000165468717</v>
      </c>
      <c r="I29" s="7" t="s">
        <v>436</v>
      </c>
      <c r="J29" s="7" t="s">
        <v>589</v>
      </c>
      <c r="K29" s="7" t="s">
        <v>670</v>
      </c>
      <c r="L29" s="7" t="s">
        <v>449</v>
      </c>
      <c r="M29" s="7" t="s">
        <v>696</v>
      </c>
      <c r="N29" s="7" t="s">
        <v>449</v>
      </c>
      <c r="O29" s="7" t="s">
        <v>444</v>
      </c>
      <c r="R29" s="7" t="s">
        <v>445</v>
      </c>
      <c r="T29" s="7" t="s">
        <v>672</v>
      </c>
      <c r="U29" s="7" t="s">
        <v>449</v>
      </c>
    </row>
    <row r="30" spans="1:21" x14ac:dyDescent="0.5">
      <c r="A30" s="7">
        <v>29</v>
      </c>
      <c r="B30" s="7" t="s">
        <v>732</v>
      </c>
      <c r="C30" s="7" t="s">
        <v>235</v>
      </c>
      <c r="D30" s="7" t="s">
        <v>437</v>
      </c>
      <c r="E30" s="8">
        <v>25268</v>
      </c>
      <c r="F30" s="7">
        <v>1690300322</v>
      </c>
      <c r="G30" s="15" t="s">
        <v>733</v>
      </c>
      <c r="H30" s="9">
        <v>10000165495919</v>
      </c>
      <c r="I30" s="7" t="s">
        <v>436</v>
      </c>
      <c r="J30" s="7" t="s">
        <v>734</v>
      </c>
      <c r="K30" s="7" t="s">
        <v>670</v>
      </c>
      <c r="L30" s="7" t="s">
        <v>449</v>
      </c>
      <c r="M30" s="7" t="s">
        <v>696</v>
      </c>
      <c r="N30" s="7" t="s">
        <v>685</v>
      </c>
      <c r="O30" s="7" t="s">
        <v>442</v>
      </c>
      <c r="R30" s="7" t="s">
        <v>445</v>
      </c>
      <c r="T30" s="7" t="s">
        <v>672</v>
      </c>
      <c r="U30" s="7" t="s">
        <v>449</v>
      </c>
    </row>
    <row r="31" spans="1:21" x14ac:dyDescent="0.5">
      <c r="A31" s="7">
        <v>30</v>
      </c>
      <c r="B31" s="7" t="s">
        <v>735</v>
      </c>
      <c r="C31" s="7" t="s">
        <v>240</v>
      </c>
      <c r="D31" s="7" t="s">
        <v>437</v>
      </c>
      <c r="E31" s="8">
        <v>31919</v>
      </c>
      <c r="F31" s="7">
        <v>1870300100</v>
      </c>
      <c r="G31" s="15" t="s">
        <v>736</v>
      </c>
      <c r="H31" s="9">
        <v>10000166466717</v>
      </c>
      <c r="I31" s="7" t="s">
        <v>436</v>
      </c>
      <c r="J31" s="7" t="s">
        <v>484</v>
      </c>
      <c r="K31" s="7" t="s">
        <v>670</v>
      </c>
      <c r="L31" s="7" t="s">
        <v>737</v>
      </c>
      <c r="M31" s="7" t="s">
        <v>696</v>
      </c>
      <c r="N31" s="7" t="s">
        <v>485</v>
      </c>
      <c r="O31" s="7" t="s">
        <v>442</v>
      </c>
      <c r="P31" s="7" t="s">
        <v>738</v>
      </c>
      <c r="Q31" s="7" t="s">
        <v>444</v>
      </c>
      <c r="R31" s="7" t="s">
        <v>739</v>
      </c>
      <c r="T31" s="7" t="s">
        <v>672</v>
      </c>
      <c r="U31" s="7" t="s">
        <v>740</v>
      </c>
    </row>
    <row r="32" spans="1:21" x14ac:dyDescent="0.5">
      <c r="A32" s="7">
        <v>31</v>
      </c>
      <c r="B32" s="7" t="s">
        <v>97</v>
      </c>
      <c r="C32" s="7" t="s">
        <v>233</v>
      </c>
      <c r="D32" s="7" t="s">
        <v>472</v>
      </c>
      <c r="E32" s="8">
        <v>29356</v>
      </c>
      <c r="F32" s="7">
        <v>2800300061</v>
      </c>
      <c r="G32" s="15" t="s">
        <v>795</v>
      </c>
      <c r="H32" s="9">
        <v>10000165432515</v>
      </c>
      <c r="I32" s="7" t="s">
        <v>436</v>
      </c>
      <c r="J32" s="7" t="s">
        <v>741</v>
      </c>
      <c r="K32" s="7" t="s">
        <v>670</v>
      </c>
      <c r="L32" s="7" t="s">
        <v>742</v>
      </c>
      <c r="M32" s="7" t="s">
        <v>696</v>
      </c>
      <c r="N32" s="7" t="s">
        <v>485</v>
      </c>
      <c r="O32" s="7" t="s">
        <v>442</v>
      </c>
      <c r="R32" s="7" t="s">
        <v>516</v>
      </c>
      <c r="T32" s="7" t="s">
        <v>672</v>
      </c>
      <c r="U32" s="7" t="s">
        <v>743</v>
      </c>
    </row>
    <row r="33" spans="1:21" x14ac:dyDescent="0.5">
      <c r="A33" s="7">
        <v>32</v>
      </c>
      <c r="B33" s="7" t="s">
        <v>100</v>
      </c>
      <c r="C33" s="7" t="s">
        <v>236</v>
      </c>
      <c r="D33" s="7" t="s">
        <v>437</v>
      </c>
      <c r="E33" s="8">
        <v>26973</v>
      </c>
      <c r="F33" s="7">
        <v>1730300451</v>
      </c>
      <c r="G33" s="15" t="s">
        <v>744</v>
      </c>
      <c r="H33" s="9">
        <v>10000165475313</v>
      </c>
      <c r="I33" s="7" t="s">
        <v>436</v>
      </c>
      <c r="J33" s="7" t="s">
        <v>478</v>
      </c>
      <c r="K33" s="7" t="s">
        <v>670</v>
      </c>
      <c r="L33" s="7" t="s">
        <v>656</v>
      </c>
      <c r="M33" s="7" t="s">
        <v>671</v>
      </c>
      <c r="N33" s="7" t="s">
        <v>656</v>
      </c>
      <c r="O33" s="7" t="s">
        <v>671</v>
      </c>
      <c r="R33" s="7" t="s">
        <v>745</v>
      </c>
      <c r="T33" s="7" t="s">
        <v>672</v>
      </c>
      <c r="U33" s="7" t="s">
        <v>656</v>
      </c>
    </row>
    <row r="34" spans="1:21" x14ac:dyDescent="0.5">
      <c r="A34" s="7">
        <v>33</v>
      </c>
      <c r="B34" s="7" t="s">
        <v>103</v>
      </c>
      <c r="C34" s="7" t="s">
        <v>239</v>
      </c>
      <c r="D34" s="7" t="s">
        <v>472</v>
      </c>
      <c r="E34" s="8">
        <v>30326</v>
      </c>
      <c r="F34" s="7">
        <v>2830300078</v>
      </c>
      <c r="G34" s="15" t="s">
        <v>746</v>
      </c>
      <c r="H34" s="9">
        <v>10000166475616</v>
      </c>
      <c r="I34" s="7" t="s">
        <v>436</v>
      </c>
      <c r="J34" s="7" t="s">
        <v>484</v>
      </c>
      <c r="K34" s="7" t="s">
        <v>670</v>
      </c>
      <c r="L34" s="7" t="s">
        <v>747</v>
      </c>
      <c r="M34" s="7" t="s">
        <v>696</v>
      </c>
      <c r="N34" s="7" t="s">
        <v>454</v>
      </c>
      <c r="O34" s="7" t="s">
        <v>444</v>
      </c>
      <c r="R34" s="7" t="s">
        <v>445</v>
      </c>
      <c r="T34" s="7" t="s">
        <v>672</v>
      </c>
      <c r="U34" s="7" t="s">
        <v>718</v>
      </c>
    </row>
    <row r="35" spans="1:21" x14ac:dyDescent="0.5">
      <c r="A35" s="7">
        <v>34</v>
      </c>
      <c r="B35" s="7" t="s">
        <v>748</v>
      </c>
      <c r="C35" s="7" t="s">
        <v>238</v>
      </c>
      <c r="D35" s="7" t="s">
        <v>472</v>
      </c>
      <c r="E35" s="8">
        <v>29899</v>
      </c>
      <c r="F35" s="7">
        <v>2810300025</v>
      </c>
      <c r="G35" s="15" t="s">
        <v>749</v>
      </c>
      <c r="H35" s="9">
        <v>10000165484515</v>
      </c>
      <c r="I35" s="7" t="s">
        <v>436</v>
      </c>
      <c r="J35" s="7" t="s">
        <v>484</v>
      </c>
      <c r="K35" s="7" t="s">
        <v>670</v>
      </c>
      <c r="L35" s="7" t="s">
        <v>479</v>
      </c>
      <c r="M35" s="7" t="s">
        <v>676</v>
      </c>
      <c r="N35" s="7" t="s">
        <v>750</v>
      </c>
      <c r="O35" s="7" t="s">
        <v>442</v>
      </c>
      <c r="R35" s="7" t="s">
        <v>445</v>
      </c>
      <c r="T35" s="7" t="s">
        <v>672</v>
      </c>
      <c r="U35" s="7" t="s">
        <v>751</v>
      </c>
    </row>
    <row r="36" spans="1:21" x14ac:dyDescent="0.5">
      <c r="A36" s="7">
        <v>35</v>
      </c>
      <c r="B36" s="7" t="s">
        <v>106</v>
      </c>
      <c r="C36" s="7" t="s">
        <v>242</v>
      </c>
      <c r="D36" s="7" t="s">
        <v>472</v>
      </c>
      <c r="E36" s="8">
        <v>33520</v>
      </c>
      <c r="F36" s="7">
        <v>2910300165</v>
      </c>
      <c r="G36" s="15" t="s">
        <v>752</v>
      </c>
      <c r="H36" s="9">
        <v>34480169244010</v>
      </c>
      <c r="I36" s="7" t="s">
        <v>436</v>
      </c>
      <c r="J36" s="7" t="s">
        <v>484</v>
      </c>
      <c r="K36" s="7" t="s">
        <v>670</v>
      </c>
      <c r="L36" s="7" t="s">
        <v>753</v>
      </c>
      <c r="M36" s="7" t="s">
        <v>696</v>
      </c>
      <c r="N36" s="7" t="s">
        <v>466</v>
      </c>
      <c r="O36" s="7" t="s">
        <v>444</v>
      </c>
      <c r="R36" s="7" t="s">
        <v>445</v>
      </c>
      <c r="T36" s="7" t="s">
        <v>672</v>
      </c>
      <c r="U36" s="7" t="s">
        <v>754</v>
      </c>
    </row>
    <row r="37" spans="1:21" x14ac:dyDescent="0.5">
      <c r="A37" s="7">
        <v>36</v>
      </c>
      <c r="B37" s="7" t="s">
        <v>105</v>
      </c>
      <c r="C37" s="7" t="s">
        <v>241</v>
      </c>
      <c r="D37" s="7" t="s">
        <v>472</v>
      </c>
      <c r="E37" s="8">
        <v>32008</v>
      </c>
      <c r="F37" s="7">
        <v>2870300157</v>
      </c>
      <c r="G37" s="15" t="s">
        <v>755</v>
      </c>
      <c r="H37" s="9">
        <v>10000166473818</v>
      </c>
      <c r="I37" s="7" t="s">
        <v>436</v>
      </c>
      <c r="J37" s="7" t="s">
        <v>484</v>
      </c>
      <c r="K37" s="7" t="s">
        <v>670</v>
      </c>
      <c r="L37" s="7" t="s">
        <v>756</v>
      </c>
      <c r="M37" s="7" t="s">
        <v>696</v>
      </c>
      <c r="N37" s="7" t="s">
        <v>532</v>
      </c>
      <c r="O37" s="7" t="s">
        <v>444</v>
      </c>
      <c r="R37" s="7" t="s">
        <v>445</v>
      </c>
      <c r="T37" s="7" t="s">
        <v>672</v>
      </c>
      <c r="U37" s="7" t="s">
        <v>757</v>
      </c>
    </row>
    <row r="38" spans="1:21" x14ac:dyDescent="0.5">
      <c r="A38" s="7">
        <v>37</v>
      </c>
      <c r="B38" s="7" t="s">
        <v>101</v>
      </c>
      <c r="C38" s="7" t="s">
        <v>237</v>
      </c>
      <c r="D38" s="7" t="s">
        <v>472</v>
      </c>
      <c r="E38" s="8">
        <v>28715</v>
      </c>
      <c r="F38" s="7">
        <v>2780300027</v>
      </c>
      <c r="G38" s="15" t="s">
        <v>758</v>
      </c>
      <c r="H38" s="9">
        <v>10000166469515</v>
      </c>
      <c r="I38" s="7" t="s">
        <v>436</v>
      </c>
      <c r="J38" s="7" t="s">
        <v>484</v>
      </c>
      <c r="K38" s="7" t="s">
        <v>670</v>
      </c>
      <c r="L38" s="7" t="s">
        <v>479</v>
      </c>
      <c r="M38" s="7" t="s">
        <v>676</v>
      </c>
      <c r="N38" s="7" t="s">
        <v>485</v>
      </c>
      <c r="O38" s="7" t="s">
        <v>442</v>
      </c>
      <c r="R38" s="7" t="s">
        <v>759</v>
      </c>
      <c r="T38" s="7" t="s">
        <v>672</v>
      </c>
      <c r="U38" s="7" t="s">
        <v>760</v>
      </c>
    </row>
    <row r="39" spans="1:21" x14ac:dyDescent="0.5">
      <c r="A39" s="7">
        <v>38</v>
      </c>
      <c r="B39" s="7" t="s">
        <v>110</v>
      </c>
      <c r="C39" s="7" t="s">
        <v>246</v>
      </c>
      <c r="D39" s="7" t="s">
        <v>472</v>
      </c>
      <c r="E39" s="8">
        <v>34236</v>
      </c>
      <c r="F39" s="7">
        <v>2930300284</v>
      </c>
      <c r="G39" s="15" t="s">
        <v>761</v>
      </c>
      <c r="H39" s="9">
        <v>10000250984110</v>
      </c>
      <c r="I39" s="7" t="s">
        <v>436</v>
      </c>
      <c r="J39" s="7" t="s">
        <v>694</v>
      </c>
      <c r="K39" s="7" t="s">
        <v>670</v>
      </c>
      <c r="L39" s="7" t="s">
        <v>536</v>
      </c>
      <c r="M39" s="7" t="s">
        <v>696</v>
      </c>
      <c r="N39" s="7" t="s">
        <v>762</v>
      </c>
      <c r="O39" s="7" t="s">
        <v>442</v>
      </c>
      <c r="R39" s="7" t="s">
        <v>763</v>
      </c>
      <c r="T39" s="7" t="s">
        <v>672</v>
      </c>
      <c r="U39" s="7" t="s">
        <v>764</v>
      </c>
    </row>
    <row r="40" spans="1:21" x14ac:dyDescent="0.5">
      <c r="A40" s="7">
        <v>39</v>
      </c>
      <c r="B40" s="7" t="s">
        <v>111</v>
      </c>
      <c r="C40" s="7" t="s">
        <v>247</v>
      </c>
      <c r="D40" s="7" t="s">
        <v>437</v>
      </c>
      <c r="E40" s="8">
        <v>34573</v>
      </c>
      <c r="F40" s="7">
        <v>1942000040</v>
      </c>
      <c r="G40" s="15" t="s">
        <v>765</v>
      </c>
      <c r="H40" s="9">
        <v>10000250829019</v>
      </c>
      <c r="I40" s="7" t="s">
        <v>436</v>
      </c>
      <c r="J40" s="7" t="s">
        <v>694</v>
      </c>
      <c r="K40" s="7" t="s">
        <v>670</v>
      </c>
      <c r="L40" s="7" t="s">
        <v>766</v>
      </c>
      <c r="M40" s="7" t="s">
        <v>676</v>
      </c>
      <c r="N40" s="7" t="s">
        <v>766</v>
      </c>
      <c r="O40" s="7" t="s">
        <v>671</v>
      </c>
      <c r="T40" s="7" t="s">
        <v>672</v>
      </c>
      <c r="U40" s="7" t="s">
        <v>767</v>
      </c>
    </row>
    <row r="41" spans="1:21" x14ac:dyDescent="0.5">
      <c r="A41" s="7">
        <v>40</v>
      </c>
      <c r="B41" s="7" t="s">
        <v>115</v>
      </c>
      <c r="C41" s="7" t="s">
        <v>251</v>
      </c>
      <c r="D41" s="7" t="s">
        <v>472</v>
      </c>
      <c r="E41" s="8">
        <v>30225</v>
      </c>
      <c r="F41" s="7">
        <v>2820300034</v>
      </c>
      <c r="G41" s="15" t="s">
        <v>797</v>
      </c>
      <c r="H41" s="9">
        <v>10000057393131</v>
      </c>
      <c r="I41" s="7" t="s">
        <v>436</v>
      </c>
      <c r="J41" s="7" t="s">
        <v>688</v>
      </c>
      <c r="K41" s="7" t="s">
        <v>670</v>
      </c>
      <c r="L41" s="7" t="s">
        <v>449</v>
      </c>
      <c r="M41" s="7" t="s">
        <v>676</v>
      </c>
      <c r="N41" s="7" t="s">
        <v>768</v>
      </c>
      <c r="O41" s="7" t="s">
        <v>444</v>
      </c>
      <c r="R41" s="7" t="s">
        <v>445</v>
      </c>
      <c r="T41" s="7" t="s">
        <v>672</v>
      </c>
      <c r="U41" s="7" t="s">
        <v>449</v>
      </c>
    </row>
    <row r="42" spans="1:21" x14ac:dyDescent="0.5">
      <c r="A42" s="7">
        <v>41</v>
      </c>
      <c r="B42" s="7" t="s">
        <v>114</v>
      </c>
      <c r="C42" s="7" t="s">
        <v>250</v>
      </c>
      <c r="D42" s="7" t="s">
        <v>437</v>
      </c>
      <c r="E42" s="8">
        <v>24870</v>
      </c>
      <c r="F42" s="7">
        <v>1680300355</v>
      </c>
      <c r="G42" s="15" t="s">
        <v>796</v>
      </c>
      <c r="H42" s="9">
        <v>10000017902313</v>
      </c>
      <c r="I42" s="7" t="s">
        <v>436</v>
      </c>
      <c r="J42" s="7" t="s">
        <v>637</v>
      </c>
      <c r="K42" s="7" t="s">
        <v>670</v>
      </c>
      <c r="L42" s="7" t="s">
        <v>449</v>
      </c>
      <c r="M42" s="7" t="s">
        <v>676</v>
      </c>
      <c r="N42" s="7" t="s">
        <v>569</v>
      </c>
      <c r="O42" s="7" t="s">
        <v>444</v>
      </c>
      <c r="R42" s="7" t="s">
        <v>445</v>
      </c>
      <c r="T42" s="7" t="s">
        <v>672</v>
      </c>
      <c r="U42" s="7" t="s">
        <v>449</v>
      </c>
    </row>
    <row r="43" spans="1:21" x14ac:dyDescent="0.5">
      <c r="A43" s="7">
        <v>42</v>
      </c>
      <c r="B43" s="7" t="s">
        <v>117</v>
      </c>
      <c r="C43" s="7" t="s">
        <v>253</v>
      </c>
      <c r="D43" s="7" t="s">
        <v>472</v>
      </c>
      <c r="E43" s="8">
        <v>36745</v>
      </c>
      <c r="F43" s="7">
        <v>2000300183</v>
      </c>
      <c r="G43" s="15" t="s">
        <v>798</v>
      </c>
      <c r="H43" s="9">
        <v>34830509782010</v>
      </c>
      <c r="I43" s="7" t="s">
        <v>436</v>
      </c>
      <c r="J43" s="7" t="s">
        <v>682</v>
      </c>
      <c r="K43" s="7" t="s">
        <v>670</v>
      </c>
      <c r="L43" s="7" t="s">
        <v>769</v>
      </c>
      <c r="M43" s="7" t="s">
        <v>442</v>
      </c>
      <c r="N43" s="7" t="s">
        <v>770</v>
      </c>
      <c r="O43" s="7" t="s">
        <v>771</v>
      </c>
      <c r="R43" s="7" t="s">
        <v>445</v>
      </c>
      <c r="T43" s="7" t="s">
        <v>672</v>
      </c>
      <c r="U43" s="7" t="s">
        <v>769</v>
      </c>
    </row>
    <row r="44" spans="1:21" x14ac:dyDescent="0.5">
      <c r="A44" s="7">
        <v>43</v>
      </c>
      <c r="B44" s="7" t="s">
        <v>118</v>
      </c>
      <c r="C44" s="7" t="s">
        <v>254</v>
      </c>
      <c r="D44" s="7" t="s">
        <v>437</v>
      </c>
      <c r="E44" s="8">
        <v>36521</v>
      </c>
      <c r="F44" s="7">
        <v>1990300147</v>
      </c>
      <c r="G44" s="15" t="s">
        <v>799</v>
      </c>
      <c r="H44" s="9">
        <v>34830509666212</v>
      </c>
      <c r="I44" s="7" t="s">
        <v>436</v>
      </c>
      <c r="J44" s="7" t="s">
        <v>682</v>
      </c>
      <c r="K44" s="7" t="s">
        <v>670</v>
      </c>
      <c r="L44" s="7" t="s">
        <v>449</v>
      </c>
      <c r="M44" s="7" t="s">
        <v>442</v>
      </c>
      <c r="N44" s="7" t="s">
        <v>449</v>
      </c>
      <c r="O44" s="7" t="s">
        <v>771</v>
      </c>
      <c r="R44" s="7" t="s">
        <v>445</v>
      </c>
      <c r="T44" s="7" t="s">
        <v>672</v>
      </c>
      <c r="U44" s="7" t="s">
        <v>449</v>
      </c>
    </row>
    <row r="45" spans="1:21" x14ac:dyDescent="0.5">
      <c r="A45" s="7">
        <v>44</v>
      </c>
      <c r="B45" s="7" t="s">
        <v>17</v>
      </c>
      <c r="C45" s="7" t="s">
        <v>153</v>
      </c>
      <c r="D45" s="7" t="s">
        <v>437</v>
      </c>
      <c r="E45" s="7" t="s">
        <v>438</v>
      </c>
      <c r="F45" s="7">
        <v>1680300332</v>
      </c>
      <c r="G45" s="15" t="s">
        <v>439</v>
      </c>
      <c r="H45" s="9">
        <v>10000166252414</v>
      </c>
      <c r="I45" s="7" t="s">
        <v>436</v>
      </c>
      <c r="J45" s="7" t="s">
        <v>440</v>
      </c>
      <c r="K45" s="7" t="s">
        <v>446</v>
      </c>
      <c r="L45" s="7" t="s">
        <v>441</v>
      </c>
      <c r="M45" s="7" t="s">
        <v>442</v>
      </c>
      <c r="N45" s="7" t="s">
        <v>443</v>
      </c>
      <c r="O45" s="7" t="s">
        <v>444</v>
      </c>
      <c r="R45" s="7" t="s">
        <v>445</v>
      </c>
      <c r="T45" s="7" t="s">
        <v>446</v>
      </c>
    </row>
    <row r="46" spans="1:21" x14ac:dyDescent="0.5">
      <c r="A46" s="7">
        <v>45</v>
      </c>
      <c r="B46" s="7" t="s">
        <v>19</v>
      </c>
      <c r="C46" s="7" t="s">
        <v>154</v>
      </c>
      <c r="D46" s="7" t="s">
        <v>437</v>
      </c>
      <c r="E46" s="8">
        <v>27181</v>
      </c>
      <c r="F46" s="7">
        <v>1740600213</v>
      </c>
      <c r="G46" s="15" t="s">
        <v>447</v>
      </c>
      <c r="H46" s="9">
        <v>10000166272010</v>
      </c>
      <c r="I46" s="7" t="s">
        <v>436</v>
      </c>
      <c r="J46" s="7" t="s">
        <v>448</v>
      </c>
      <c r="K46" s="7" t="s">
        <v>451</v>
      </c>
      <c r="L46" s="7" t="s">
        <v>449</v>
      </c>
      <c r="M46" s="7" t="s">
        <v>442</v>
      </c>
      <c r="N46" s="7" t="s">
        <v>449</v>
      </c>
      <c r="O46" s="7" t="s">
        <v>442</v>
      </c>
      <c r="R46" s="7" t="s">
        <v>450</v>
      </c>
      <c r="T46" s="7" t="s">
        <v>451</v>
      </c>
    </row>
    <row r="47" spans="1:21" x14ac:dyDescent="0.5">
      <c r="A47" s="7">
        <v>46</v>
      </c>
      <c r="B47" s="7" t="s">
        <v>20</v>
      </c>
      <c r="C47" s="7" t="s">
        <v>155</v>
      </c>
      <c r="D47" s="7" t="s">
        <v>437</v>
      </c>
      <c r="E47" s="8">
        <v>26094</v>
      </c>
      <c r="F47" s="7">
        <v>1710300275</v>
      </c>
      <c r="G47" s="15" t="s">
        <v>452</v>
      </c>
      <c r="H47" s="9">
        <v>10000041581212</v>
      </c>
      <c r="I47" s="7" t="s">
        <v>436</v>
      </c>
      <c r="J47" s="7" t="s">
        <v>453</v>
      </c>
      <c r="K47" s="7" t="s">
        <v>451</v>
      </c>
      <c r="L47" s="7" t="s">
        <v>454</v>
      </c>
      <c r="M47" s="7" t="s">
        <v>442</v>
      </c>
      <c r="N47" s="7" t="s">
        <v>455</v>
      </c>
      <c r="O47" s="7" t="s">
        <v>444</v>
      </c>
      <c r="R47" s="7" t="s">
        <v>445</v>
      </c>
      <c r="T47" s="7" t="s">
        <v>451</v>
      </c>
    </row>
    <row r="48" spans="1:21" x14ac:dyDescent="0.5">
      <c r="A48" s="7">
        <v>47</v>
      </c>
      <c r="B48" s="7" t="s">
        <v>456</v>
      </c>
      <c r="C48" s="7" t="s">
        <v>156</v>
      </c>
      <c r="D48" s="7" t="s">
        <v>437</v>
      </c>
      <c r="E48" s="7" t="s">
        <v>457</v>
      </c>
      <c r="F48" s="7">
        <v>1800300530</v>
      </c>
      <c r="G48" s="15" t="s">
        <v>458</v>
      </c>
      <c r="H48" s="9">
        <v>10000166327717</v>
      </c>
      <c r="I48" s="7" t="s">
        <v>436</v>
      </c>
      <c r="J48" s="7" t="s">
        <v>459</v>
      </c>
      <c r="K48" s="7" t="s">
        <v>462</v>
      </c>
      <c r="L48" s="7" t="s">
        <v>460</v>
      </c>
      <c r="M48" s="7" t="s">
        <v>442</v>
      </c>
      <c r="N48" s="7" t="s">
        <v>461</v>
      </c>
      <c r="O48" s="7" t="s">
        <v>444</v>
      </c>
      <c r="R48" s="7" t="s">
        <v>445</v>
      </c>
      <c r="T48" s="7" t="s">
        <v>462</v>
      </c>
    </row>
    <row r="49" spans="1:20" x14ac:dyDescent="0.5">
      <c r="A49" s="7">
        <v>48</v>
      </c>
      <c r="B49" s="7" t="s">
        <v>24</v>
      </c>
      <c r="C49" s="7" t="s">
        <v>159</v>
      </c>
      <c r="D49" s="7" t="s">
        <v>437</v>
      </c>
      <c r="E49" s="8" t="s">
        <v>463</v>
      </c>
      <c r="F49" s="7">
        <v>1750300438</v>
      </c>
      <c r="G49" s="15" t="s">
        <v>464</v>
      </c>
      <c r="H49" s="9">
        <v>10000166235515</v>
      </c>
      <c r="I49" s="7" t="s">
        <v>436</v>
      </c>
      <c r="J49" s="7" t="s">
        <v>465</v>
      </c>
      <c r="K49" s="7" t="s">
        <v>467</v>
      </c>
      <c r="L49" s="7" t="s">
        <v>454</v>
      </c>
      <c r="M49" s="7" t="s">
        <v>442</v>
      </c>
      <c r="N49" s="7" t="s">
        <v>466</v>
      </c>
      <c r="O49" s="7" t="s">
        <v>442</v>
      </c>
      <c r="R49" s="7" t="s">
        <v>450</v>
      </c>
      <c r="T49" s="7" t="s">
        <v>467</v>
      </c>
    </row>
    <row r="50" spans="1:20" x14ac:dyDescent="0.5">
      <c r="A50" s="7">
        <v>49</v>
      </c>
      <c r="B50" s="7" t="s">
        <v>25</v>
      </c>
      <c r="C50" s="7" t="s">
        <v>160</v>
      </c>
      <c r="D50" s="7" t="s">
        <v>437</v>
      </c>
      <c r="E50" s="8">
        <v>28895</v>
      </c>
      <c r="F50" s="7">
        <v>1790300234</v>
      </c>
      <c r="G50" s="15" t="s">
        <v>468</v>
      </c>
      <c r="H50" s="9">
        <v>10000094913313</v>
      </c>
      <c r="I50" s="7" t="s">
        <v>436</v>
      </c>
      <c r="J50" s="7" t="s">
        <v>448</v>
      </c>
      <c r="K50" s="7" t="s">
        <v>471</v>
      </c>
      <c r="L50" s="7" t="s">
        <v>469</v>
      </c>
      <c r="M50" s="7" t="s">
        <v>442</v>
      </c>
      <c r="N50" s="7" t="s">
        <v>469</v>
      </c>
      <c r="O50" s="7" t="s">
        <v>444</v>
      </c>
      <c r="R50" s="7" t="s">
        <v>470</v>
      </c>
      <c r="T50" s="7" t="s">
        <v>471</v>
      </c>
    </row>
    <row r="51" spans="1:20" x14ac:dyDescent="0.5">
      <c r="A51" s="7">
        <v>50</v>
      </c>
      <c r="B51" s="7" t="s">
        <v>22</v>
      </c>
      <c r="C51" s="7" t="s">
        <v>157</v>
      </c>
      <c r="D51" s="7" t="s">
        <v>472</v>
      </c>
      <c r="E51" s="8">
        <v>24962</v>
      </c>
      <c r="F51" s="7">
        <v>2680300154</v>
      </c>
      <c r="G51" s="15" t="s">
        <v>473</v>
      </c>
      <c r="H51" s="9">
        <v>10000022873515</v>
      </c>
      <c r="I51" s="7" t="s">
        <v>436</v>
      </c>
      <c r="J51" s="7" t="s">
        <v>474</v>
      </c>
      <c r="K51" s="7" t="s">
        <v>476</v>
      </c>
      <c r="L51" s="7" t="s">
        <v>454</v>
      </c>
      <c r="M51" s="7" t="s">
        <v>442</v>
      </c>
      <c r="N51" s="7" t="s">
        <v>475</v>
      </c>
      <c r="O51" s="7" t="s">
        <v>444</v>
      </c>
      <c r="R51" s="7" t="s">
        <v>450</v>
      </c>
      <c r="T51" s="7" t="s">
        <v>476</v>
      </c>
    </row>
    <row r="52" spans="1:20" x14ac:dyDescent="0.5">
      <c r="A52" s="7">
        <v>51</v>
      </c>
      <c r="B52" s="7" t="s">
        <v>26</v>
      </c>
      <c r="C52" s="7" t="s">
        <v>161</v>
      </c>
      <c r="D52" s="7" t="s">
        <v>472</v>
      </c>
      <c r="E52" s="8">
        <v>30111</v>
      </c>
      <c r="F52" s="7">
        <v>2820300049</v>
      </c>
      <c r="G52" s="15" t="s">
        <v>477</v>
      </c>
      <c r="H52" s="9">
        <v>10000023852312</v>
      </c>
      <c r="I52" s="7" t="s">
        <v>436</v>
      </c>
      <c r="J52" s="7" t="s">
        <v>478</v>
      </c>
      <c r="K52" s="7" t="s">
        <v>482</v>
      </c>
      <c r="L52" s="7" t="s">
        <v>479</v>
      </c>
      <c r="M52" s="7" t="s">
        <v>480</v>
      </c>
      <c r="N52" s="7" t="s">
        <v>481</v>
      </c>
      <c r="O52" s="7" t="s">
        <v>444</v>
      </c>
      <c r="R52" s="7" t="s">
        <v>450</v>
      </c>
      <c r="T52" s="7" t="s">
        <v>482</v>
      </c>
    </row>
    <row r="53" spans="1:20" x14ac:dyDescent="0.5">
      <c r="A53" s="7">
        <v>52</v>
      </c>
      <c r="B53" s="7" t="s">
        <v>27</v>
      </c>
      <c r="C53" s="7" t="s">
        <v>162</v>
      </c>
      <c r="D53" s="7" t="s">
        <v>472</v>
      </c>
      <c r="E53" s="8">
        <v>26300</v>
      </c>
      <c r="F53" s="7">
        <v>2720300109</v>
      </c>
      <c r="G53" s="15" t="s">
        <v>483</v>
      </c>
      <c r="H53" s="9">
        <v>10000165425818</v>
      </c>
      <c r="I53" s="7" t="s">
        <v>436</v>
      </c>
      <c r="J53" s="7" t="s">
        <v>484</v>
      </c>
      <c r="K53" s="7" t="s">
        <v>486</v>
      </c>
      <c r="L53" s="7" t="s">
        <v>454</v>
      </c>
      <c r="M53" s="7" t="s">
        <v>480</v>
      </c>
      <c r="N53" s="7" t="s">
        <v>485</v>
      </c>
      <c r="O53" s="7" t="s">
        <v>480</v>
      </c>
      <c r="R53" s="7" t="s">
        <v>450</v>
      </c>
      <c r="T53" s="7" t="s">
        <v>486</v>
      </c>
    </row>
    <row r="54" spans="1:20" x14ac:dyDescent="0.5">
      <c r="A54" s="7">
        <v>53</v>
      </c>
      <c r="B54" s="7" t="s">
        <v>487</v>
      </c>
      <c r="C54" s="7" t="s">
        <v>163</v>
      </c>
      <c r="D54" s="7" t="s">
        <v>437</v>
      </c>
      <c r="E54" s="8">
        <v>24233</v>
      </c>
      <c r="F54" s="7">
        <v>1660300189</v>
      </c>
      <c r="G54" s="15" t="s">
        <v>488</v>
      </c>
      <c r="H54" s="9">
        <v>10000165454111</v>
      </c>
      <c r="I54" s="7" t="s">
        <v>436</v>
      </c>
      <c r="J54" s="7" t="s">
        <v>489</v>
      </c>
      <c r="K54" s="7" t="s">
        <v>486</v>
      </c>
      <c r="L54" s="7" t="s">
        <v>490</v>
      </c>
      <c r="M54" s="7" t="s">
        <v>480</v>
      </c>
      <c r="N54" s="7" t="s">
        <v>491</v>
      </c>
      <c r="O54" s="7" t="s">
        <v>480</v>
      </c>
      <c r="R54" s="7" t="s">
        <v>450</v>
      </c>
      <c r="T54" s="7" t="s">
        <v>486</v>
      </c>
    </row>
    <row r="55" spans="1:20" x14ac:dyDescent="0.5">
      <c r="A55" s="7">
        <v>54</v>
      </c>
      <c r="B55" s="7" t="s">
        <v>492</v>
      </c>
      <c r="C55" s="7" t="s">
        <v>493</v>
      </c>
      <c r="D55" s="7" t="s">
        <v>437</v>
      </c>
      <c r="E55" s="8">
        <v>23743</v>
      </c>
      <c r="F55" s="7">
        <v>1650300131</v>
      </c>
      <c r="G55" s="15" t="s">
        <v>494</v>
      </c>
      <c r="H55" s="9">
        <v>10000117648121</v>
      </c>
      <c r="I55" s="7" t="s">
        <v>436</v>
      </c>
      <c r="J55" s="7" t="s">
        <v>495</v>
      </c>
      <c r="K55" s="7" t="s">
        <v>486</v>
      </c>
      <c r="L55" s="7" t="s">
        <v>490</v>
      </c>
      <c r="M55" s="7" t="s">
        <v>480</v>
      </c>
      <c r="N55" s="7" t="s">
        <v>496</v>
      </c>
      <c r="O55" s="7" t="s">
        <v>480</v>
      </c>
      <c r="R55" s="7" t="s">
        <v>497</v>
      </c>
      <c r="T55" s="7" t="s">
        <v>486</v>
      </c>
    </row>
    <row r="56" spans="1:20" x14ac:dyDescent="0.5">
      <c r="A56" s="7">
        <v>55</v>
      </c>
      <c r="B56" s="7" t="s">
        <v>23</v>
      </c>
      <c r="C56" s="7" t="s">
        <v>158</v>
      </c>
      <c r="D56" s="7" t="s">
        <v>437</v>
      </c>
      <c r="E56" s="8">
        <v>24898</v>
      </c>
      <c r="F56" s="7">
        <v>1680300331</v>
      </c>
      <c r="G56" s="15" t="s">
        <v>498</v>
      </c>
      <c r="H56" s="9">
        <v>10000166384717</v>
      </c>
      <c r="I56" s="7" t="s">
        <v>436</v>
      </c>
      <c r="J56" s="7" t="s">
        <v>499</v>
      </c>
      <c r="K56" s="7" t="s">
        <v>503</v>
      </c>
      <c r="L56" s="7" t="s">
        <v>500</v>
      </c>
      <c r="M56" s="7" t="s">
        <v>480</v>
      </c>
      <c r="N56" s="7" t="s">
        <v>501</v>
      </c>
      <c r="O56" s="7" t="s">
        <v>480</v>
      </c>
      <c r="R56" s="7" t="s">
        <v>502</v>
      </c>
      <c r="T56" s="7" t="s">
        <v>503</v>
      </c>
    </row>
    <row r="57" spans="1:20" x14ac:dyDescent="0.5">
      <c r="A57" s="7">
        <v>56</v>
      </c>
      <c r="B57" s="7" t="s">
        <v>504</v>
      </c>
      <c r="C57" s="7" t="s">
        <v>505</v>
      </c>
      <c r="D57" s="7" t="s">
        <v>437</v>
      </c>
      <c r="E57" s="8">
        <v>25544</v>
      </c>
      <c r="F57" s="7">
        <v>1690300355</v>
      </c>
      <c r="G57" s="15" t="s">
        <v>506</v>
      </c>
      <c r="H57" s="9">
        <v>10000166296414</v>
      </c>
      <c r="I57" s="7" t="s">
        <v>436</v>
      </c>
      <c r="J57" s="7" t="s">
        <v>499</v>
      </c>
      <c r="K57" s="7" t="s">
        <v>507</v>
      </c>
      <c r="L57" s="7" t="s">
        <v>500</v>
      </c>
      <c r="M57" s="7" t="s">
        <v>480</v>
      </c>
      <c r="N57" s="7" t="s">
        <v>501</v>
      </c>
      <c r="O57" s="7" t="s">
        <v>480</v>
      </c>
      <c r="R57" s="7" t="s">
        <v>502</v>
      </c>
      <c r="T57" s="7" t="s">
        <v>507</v>
      </c>
    </row>
    <row r="58" spans="1:20" x14ac:dyDescent="0.5">
      <c r="A58" s="7">
        <v>57</v>
      </c>
      <c r="B58" s="7" t="s">
        <v>508</v>
      </c>
      <c r="C58" s="7" t="s">
        <v>164</v>
      </c>
      <c r="D58" s="7" t="s">
        <v>472</v>
      </c>
      <c r="E58" s="8">
        <v>24754</v>
      </c>
      <c r="F58" s="7">
        <v>2670300101</v>
      </c>
      <c r="H58" s="9">
        <v>10000165430919</v>
      </c>
      <c r="I58" s="7" t="s">
        <v>436</v>
      </c>
      <c r="J58" s="7" t="s">
        <v>489</v>
      </c>
      <c r="K58" s="7" t="s">
        <v>509</v>
      </c>
      <c r="L58" s="7" t="s">
        <v>490</v>
      </c>
      <c r="M58" s="7" t="s">
        <v>480</v>
      </c>
      <c r="N58" s="7" t="s">
        <v>496</v>
      </c>
      <c r="O58" s="7" t="s">
        <v>480</v>
      </c>
      <c r="R58" s="7" t="s">
        <v>497</v>
      </c>
      <c r="T58" s="7" t="s">
        <v>509</v>
      </c>
    </row>
    <row r="59" spans="1:20" x14ac:dyDescent="0.5">
      <c r="A59" s="7">
        <v>58</v>
      </c>
      <c r="B59" s="7" t="s">
        <v>30</v>
      </c>
      <c r="C59" s="7" t="s">
        <v>165</v>
      </c>
      <c r="D59" s="7" t="s">
        <v>437</v>
      </c>
      <c r="E59" s="7" t="s">
        <v>510</v>
      </c>
      <c r="F59" s="7">
        <v>1820300233</v>
      </c>
      <c r="G59" s="15" t="s">
        <v>511</v>
      </c>
      <c r="H59" s="9">
        <v>10000166393414</v>
      </c>
      <c r="I59" s="7" t="s">
        <v>436</v>
      </c>
      <c r="J59" s="7" t="s">
        <v>448</v>
      </c>
      <c r="K59" s="7" t="s">
        <v>449</v>
      </c>
      <c r="L59" s="7" t="s">
        <v>449</v>
      </c>
      <c r="M59" s="7" t="s">
        <v>480</v>
      </c>
      <c r="N59" s="7" t="s">
        <v>449</v>
      </c>
      <c r="O59" s="7" t="s">
        <v>444</v>
      </c>
      <c r="R59" s="7" t="s">
        <v>445</v>
      </c>
      <c r="T59" s="7" t="s">
        <v>449</v>
      </c>
    </row>
    <row r="60" spans="1:20" x14ac:dyDescent="0.5">
      <c r="A60" s="7">
        <v>59</v>
      </c>
      <c r="B60" s="7" t="s">
        <v>32</v>
      </c>
      <c r="C60" s="7" t="s">
        <v>167</v>
      </c>
      <c r="D60" s="7" t="s">
        <v>472</v>
      </c>
      <c r="E60" s="7" t="s">
        <v>512</v>
      </c>
      <c r="F60" s="7">
        <v>2870300243</v>
      </c>
      <c r="G60" s="15" t="s">
        <v>513</v>
      </c>
      <c r="H60" s="9">
        <v>10000130090111</v>
      </c>
      <c r="I60" s="7" t="s">
        <v>436</v>
      </c>
      <c r="J60" s="7" t="s">
        <v>514</v>
      </c>
      <c r="K60" s="7" t="s">
        <v>449</v>
      </c>
      <c r="L60" s="7" t="s">
        <v>449</v>
      </c>
      <c r="M60" s="7" t="s">
        <v>442</v>
      </c>
      <c r="N60" s="7" t="s">
        <v>515</v>
      </c>
      <c r="O60" s="7" t="s">
        <v>444</v>
      </c>
      <c r="R60" s="7" t="s">
        <v>516</v>
      </c>
      <c r="T60" s="7" t="s">
        <v>449</v>
      </c>
    </row>
    <row r="61" spans="1:20" x14ac:dyDescent="0.5">
      <c r="A61" s="7">
        <v>60</v>
      </c>
      <c r="B61" s="7" t="s">
        <v>31</v>
      </c>
      <c r="C61" s="7" t="s">
        <v>166</v>
      </c>
      <c r="D61" s="7" t="s">
        <v>437</v>
      </c>
      <c r="E61" s="8">
        <v>32690</v>
      </c>
      <c r="F61" s="7">
        <v>1890700240</v>
      </c>
      <c r="G61" s="15" t="s">
        <v>517</v>
      </c>
      <c r="H61" s="9">
        <v>14000104842612</v>
      </c>
      <c r="I61" s="7" t="s">
        <v>436</v>
      </c>
      <c r="J61" s="7" t="s">
        <v>518</v>
      </c>
      <c r="K61" s="7" t="s">
        <v>449</v>
      </c>
      <c r="L61" s="7" t="s">
        <v>449</v>
      </c>
      <c r="M61" s="7" t="s">
        <v>444</v>
      </c>
      <c r="N61" s="7" t="s">
        <v>449</v>
      </c>
      <c r="O61" s="7" t="s">
        <v>444</v>
      </c>
      <c r="R61" s="7" t="s">
        <v>519</v>
      </c>
      <c r="T61" s="7" t="s">
        <v>449</v>
      </c>
    </row>
    <row r="62" spans="1:20" x14ac:dyDescent="0.5">
      <c r="A62" s="7">
        <v>61</v>
      </c>
      <c r="B62" s="7" t="s">
        <v>33</v>
      </c>
      <c r="C62" s="7" t="s">
        <v>168</v>
      </c>
      <c r="D62" s="7" t="s">
        <v>437</v>
      </c>
      <c r="E62" s="7" t="s">
        <v>520</v>
      </c>
      <c r="F62" s="7">
        <v>1830300209</v>
      </c>
      <c r="G62" s="15" t="s">
        <v>521</v>
      </c>
      <c r="H62" s="9">
        <v>10000099720919</v>
      </c>
      <c r="I62" s="7" t="s">
        <v>436</v>
      </c>
      <c r="J62" s="7" t="s">
        <v>459</v>
      </c>
      <c r="K62" s="7" t="s">
        <v>469</v>
      </c>
      <c r="L62" s="7" t="s">
        <v>469</v>
      </c>
      <c r="M62" s="7" t="s">
        <v>442</v>
      </c>
      <c r="N62" s="7" t="s">
        <v>522</v>
      </c>
      <c r="O62" s="7" t="s">
        <v>444</v>
      </c>
      <c r="R62" s="7" t="s">
        <v>523</v>
      </c>
      <c r="T62" s="7" t="s">
        <v>469</v>
      </c>
    </row>
    <row r="63" spans="1:20" x14ac:dyDescent="0.5">
      <c r="A63" s="7">
        <v>62</v>
      </c>
      <c r="B63" s="7" t="s">
        <v>34</v>
      </c>
      <c r="C63" s="7" t="s">
        <v>169</v>
      </c>
      <c r="D63" s="7" t="s">
        <v>472</v>
      </c>
      <c r="E63" s="7" t="s">
        <v>524</v>
      </c>
      <c r="F63" s="7">
        <v>2930300439</v>
      </c>
      <c r="G63" s="15" t="s">
        <v>525</v>
      </c>
      <c r="H63" s="9">
        <v>10000360049918</v>
      </c>
      <c r="I63" s="7" t="s">
        <v>436</v>
      </c>
      <c r="J63" s="7" t="s">
        <v>526</v>
      </c>
      <c r="K63" s="7" t="s">
        <v>469</v>
      </c>
      <c r="L63" s="7" t="s">
        <v>469</v>
      </c>
      <c r="M63" s="7" t="s">
        <v>442</v>
      </c>
      <c r="N63" s="7" t="s">
        <v>469</v>
      </c>
      <c r="O63" s="7" t="s">
        <v>442</v>
      </c>
      <c r="R63" s="7" t="s">
        <v>445</v>
      </c>
      <c r="T63" s="7" t="s">
        <v>469</v>
      </c>
    </row>
    <row r="64" spans="1:20" x14ac:dyDescent="0.5">
      <c r="A64" s="7">
        <v>63</v>
      </c>
      <c r="B64" s="7" t="s">
        <v>35</v>
      </c>
      <c r="C64" s="7" t="s">
        <v>170</v>
      </c>
      <c r="D64" s="7" t="s">
        <v>472</v>
      </c>
      <c r="E64" s="7" t="s">
        <v>527</v>
      </c>
      <c r="F64" s="7">
        <v>2870300253</v>
      </c>
      <c r="G64" s="15" t="s">
        <v>528</v>
      </c>
      <c r="H64" s="9">
        <v>10000166291111</v>
      </c>
      <c r="I64" s="7" t="s">
        <v>436</v>
      </c>
      <c r="J64" s="7" t="s">
        <v>529</v>
      </c>
      <c r="K64" s="7" t="s">
        <v>530</v>
      </c>
      <c r="L64" s="7" t="s">
        <v>530</v>
      </c>
      <c r="M64" s="7" t="s">
        <v>442</v>
      </c>
      <c r="N64" s="7" t="s">
        <v>530</v>
      </c>
      <c r="O64" s="7" t="s">
        <v>442</v>
      </c>
      <c r="R64" s="7" t="s">
        <v>445</v>
      </c>
      <c r="T64" s="7" t="s">
        <v>530</v>
      </c>
    </row>
    <row r="65" spans="1:20" x14ac:dyDescent="0.5">
      <c r="A65" s="7">
        <v>64</v>
      </c>
      <c r="B65" s="7" t="s">
        <v>38</v>
      </c>
      <c r="C65" s="7" t="s">
        <v>173</v>
      </c>
      <c r="D65" s="7" t="s">
        <v>437</v>
      </c>
      <c r="E65" s="8">
        <v>31017</v>
      </c>
      <c r="F65" s="7">
        <v>1840300188</v>
      </c>
      <c r="G65" s="15" t="s">
        <v>531</v>
      </c>
      <c r="H65" s="9">
        <v>10000032372818</v>
      </c>
      <c r="I65" s="7" t="s">
        <v>436</v>
      </c>
      <c r="J65" s="7" t="s">
        <v>448</v>
      </c>
      <c r="K65" s="7" t="s">
        <v>532</v>
      </c>
      <c r="L65" s="7" t="s">
        <v>532</v>
      </c>
      <c r="M65" s="7" t="s">
        <v>442</v>
      </c>
      <c r="N65" s="7" t="s">
        <v>532</v>
      </c>
      <c r="O65" s="7" t="s">
        <v>444</v>
      </c>
      <c r="R65" s="7" t="s">
        <v>445</v>
      </c>
      <c r="T65" s="7" t="s">
        <v>532</v>
      </c>
    </row>
    <row r="66" spans="1:20" x14ac:dyDescent="0.5">
      <c r="A66" s="7">
        <v>65</v>
      </c>
      <c r="B66" s="7" t="s">
        <v>39</v>
      </c>
      <c r="C66" s="7" t="s">
        <v>174</v>
      </c>
      <c r="D66" s="7" t="s">
        <v>472</v>
      </c>
      <c r="E66" s="8">
        <v>29684</v>
      </c>
      <c r="F66" s="7">
        <v>2810300213</v>
      </c>
      <c r="G66" s="15" t="s">
        <v>533</v>
      </c>
      <c r="H66" s="9">
        <v>10000031150313</v>
      </c>
      <c r="I66" s="7" t="s">
        <v>436</v>
      </c>
      <c r="J66" s="7" t="s">
        <v>448</v>
      </c>
      <c r="K66" s="7" t="s">
        <v>534</v>
      </c>
      <c r="L66" s="7" t="s">
        <v>532</v>
      </c>
      <c r="M66" s="7" t="s">
        <v>442</v>
      </c>
      <c r="N66" s="7" t="s">
        <v>532</v>
      </c>
      <c r="O66" s="7" t="s">
        <v>444</v>
      </c>
      <c r="R66" s="7" t="s">
        <v>445</v>
      </c>
      <c r="T66" s="7" t="s">
        <v>534</v>
      </c>
    </row>
    <row r="67" spans="1:20" x14ac:dyDescent="0.5">
      <c r="A67" s="7">
        <v>66</v>
      </c>
      <c r="B67" s="7" t="s">
        <v>40</v>
      </c>
      <c r="C67" s="7" t="s">
        <v>175</v>
      </c>
      <c r="D67" s="7" t="s">
        <v>472</v>
      </c>
      <c r="E67" s="8">
        <v>32417</v>
      </c>
      <c r="F67" s="7">
        <v>2880300262</v>
      </c>
      <c r="G67" s="15" t="s">
        <v>535</v>
      </c>
      <c r="H67" s="9">
        <v>10000140194424</v>
      </c>
      <c r="I67" s="7" t="s">
        <v>436</v>
      </c>
      <c r="J67" s="7" t="s">
        <v>514</v>
      </c>
      <c r="K67" s="7" t="s">
        <v>536</v>
      </c>
      <c r="L67" s="7" t="s">
        <v>536</v>
      </c>
      <c r="M67" s="7" t="s">
        <v>442</v>
      </c>
      <c r="N67" s="7" t="s">
        <v>536</v>
      </c>
      <c r="O67" s="7" t="s">
        <v>444</v>
      </c>
      <c r="R67" s="7" t="s">
        <v>516</v>
      </c>
      <c r="T67" s="7" t="s">
        <v>536</v>
      </c>
    </row>
    <row r="68" spans="1:20" x14ac:dyDescent="0.5">
      <c r="A68" s="7">
        <v>67</v>
      </c>
      <c r="B68" s="7" t="s">
        <v>43</v>
      </c>
      <c r="C68" s="7" t="s">
        <v>178</v>
      </c>
      <c r="D68" s="7" t="s">
        <v>437</v>
      </c>
      <c r="E68" s="8">
        <v>29253</v>
      </c>
      <c r="F68" s="7">
        <v>1800300408</v>
      </c>
      <c r="G68" s="15" t="s">
        <v>537</v>
      </c>
      <c r="H68" s="9">
        <v>10000038375010</v>
      </c>
      <c r="I68" s="7" t="s">
        <v>436</v>
      </c>
      <c r="J68" s="7" t="s">
        <v>448</v>
      </c>
      <c r="K68" s="7" t="s">
        <v>543</v>
      </c>
      <c r="L68" s="7" t="s">
        <v>538</v>
      </c>
      <c r="M68" s="7" t="s">
        <v>539</v>
      </c>
      <c r="N68" s="7" t="s">
        <v>540</v>
      </c>
      <c r="O68" s="7" t="s">
        <v>541</v>
      </c>
      <c r="R68" s="7" t="s">
        <v>542</v>
      </c>
      <c r="T68" s="7" t="s">
        <v>543</v>
      </c>
    </row>
    <row r="69" spans="1:20" x14ac:dyDescent="0.5">
      <c r="A69" s="7">
        <v>68</v>
      </c>
      <c r="B69" s="7" t="s">
        <v>44</v>
      </c>
      <c r="C69" s="7" t="s">
        <v>179</v>
      </c>
      <c r="D69" s="7" t="s">
        <v>437</v>
      </c>
      <c r="E69" s="8">
        <v>30503</v>
      </c>
      <c r="F69" s="7">
        <v>1830300210</v>
      </c>
      <c r="G69" s="15" t="s">
        <v>544</v>
      </c>
      <c r="H69" s="9">
        <v>10000033478414</v>
      </c>
      <c r="I69" s="7" t="s">
        <v>436</v>
      </c>
      <c r="J69" s="7" t="s">
        <v>545</v>
      </c>
      <c r="K69" s="7" t="s">
        <v>548</v>
      </c>
      <c r="L69" s="7" t="s">
        <v>546</v>
      </c>
      <c r="M69" s="7" t="s">
        <v>442</v>
      </c>
      <c r="N69" s="7" t="s">
        <v>547</v>
      </c>
      <c r="O69" s="7" t="s">
        <v>444</v>
      </c>
      <c r="T69" s="7" t="s">
        <v>548</v>
      </c>
    </row>
    <row r="70" spans="1:20" x14ac:dyDescent="0.5">
      <c r="A70" s="7">
        <v>69</v>
      </c>
      <c r="B70" s="7" t="s">
        <v>45</v>
      </c>
      <c r="C70" s="7" t="s">
        <v>180</v>
      </c>
      <c r="D70" s="7" t="s">
        <v>437</v>
      </c>
      <c r="E70" s="7" t="s">
        <v>549</v>
      </c>
      <c r="F70" s="7">
        <v>1870300227</v>
      </c>
      <c r="G70" s="15" t="s">
        <v>550</v>
      </c>
      <c r="H70" s="9">
        <v>10000031000515</v>
      </c>
      <c r="I70" s="7" t="s">
        <v>436</v>
      </c>
      <c r="J70" s="7" t="s">
        <v>551</v>
      </c>
      <c r="K70" s="7" t="s">
        <v>548</v>
      </c>
      <c r="L70" s="7" t="s">
        <v>548</v>
      </c>
      <c r="M70" s="7" t="s">
        <v>442</v>
      </c>
      <c r="N70" s="7" t="s">
        <v>552</v>
      </c>
      <c r="O70" s="7" t="s">
        <v>444</v>
      </c>
      <c r="R70" s="7" t="s">
        <v>553</v>
      </c>
      <c r="T70" s="7" t="s">
        <v>548</v>
      </c>
    </row>
    <row r="71" spans="1:20" x14ac:dyDescent="0.5">
      <c r="A71" s="7">
        <v>70</v>
      </c>
      <c r="B71" s="7" t="s">
        <v>46</v>
      </c>
      <c r="C71" s="7" t="s">
        <v>181</v>
      </c>
      <c r="D71" s="7" t="s">
        <v>437</v>
      </c>
      <c r="E71" s="7" t="s">
        <v>554</v>
      </c>
      <c r="F71" s="7">
        <v>1730300800</v>
      </c>
      <c r="G71" s="15" t="s">
        <v>555</v>
      </c>
      <c r="H71" s="9">
        <v>10000113864424</v>
      </c>
      <c r="I71" s="7" t="s">
        <v>436</v>
      </c>
      <c r="J71" s="7" t="s">
        <v>465</v>
      </c>
      <c r="K71" s="7" t="s">
        <v>485</v>
      </c>
      <c r="L71" s="7" t="s">
        <v>454</v>
      </c>
      <c r="M71" s="7" t="s">
        <v>442</v>
      </c>
      <c r="N71" s="7" t="s">
        <v>485</v>
      </c>
      <c r="O71" s="7" t="s">
        <v>444</v>
      </c>
      <c r="R71" s="7" t="s">
        <v>445</v>
      </c>
      <c r="T71" s="7" t="s">
        <v>485</v>
      </c>
    </row>
    <row r="72" spans="1:20" x14ac:dyDescent="0.5">
      <c r="A72" s="7">
        <v>71</v>
      </c>
      <c r="B72" s="7" t="s">
        <v>556</v>
      </c>
      <c r="C72" s="7" t="s">
        <v>182</v>
      </c>
      <c r="D72" s="7" t="s">
        <v>472</v>
      </c>
      <c r="E72" s="7" t="s">
        <v>557</v>
      </c>
      <c r="F72" s="7">
        <v>2890300162</v>
      </c>
      <c r="G72" s="15" t="s">
        <v>558</v>
      </c>
      <c r="H72" s="9">
        <v>10000166309515</v>
      </c>
      <c r="I72" s="7" t="s">
        <v>436</v>
      </c>
      <c r="J72" s="7" t="s">
        <v>559</v>
      </c>
      <c r="K72" s="7" t="s">
        <v>485</v>
      </c>
      <c r="L72" s="7" t="s">
        <v>454</v>
      </c>
      <c r="M72" s="7" t="s">
        <v>442</v>
      </c>
      <c r="N72" s="7" t="s">
        <v>560</v>
      </c>
      <c r="O72" s="7" t="s">
        <v>444</v>
      </c>
      <c r="R72" s="7" t="s">
        <v>445</v>
      </c>
      <c r="T72" s="7" t="s">
        <v>485</v>
      </c>
    </row>
    <row r="73" spans="1:20" x14ac:dyDescent="0.5">
      <c r="A73" s="7">
        <v>72</v>
      </c>
      <c r="B73" s="7" t="s">
        <v>48</v>
      </c>
      <c r="C73" s="7" t="s">
        <v>183</v>
      </c>
      <c r="D73" s="7" t="s">
        <v>472</v>
      </c>
      <c r="E73" s="8">
        <v>29952</v>
      </c>
      <c r="F73" s="7">
        <v>2820800126</v>
      </c>
      <c r="G73" s="15" t="s">
        <v>561</v>
      </c>
      <c r="H73" s="9">
        <v>10000294981516</v>
      </c>
      <c r="I73" s="7" t="s">
        <v>436</v>
      </c>
      <c r="J73" s="7" t="s">
        <v>514</v>
      </c>
      <c r="K73" s="7" t="s">
        <v>562</v>
      </c>
      <c r="L73" s="7" t="s">
        <v>454</v>
      </c>
      <c r="M73" s="7" t="s">
        <v>444</v>
      </c>
      <c r="N73" s="7" t="s">
        <v>560</v>
      </c>
      <c r="O73" s="7" t="s">
        <v>444</v>
      </c>
      <c r="R73" s="7" t="s">
        <v>445</v>
      </c>
      <c r="T73" s="7" t="s">
        <v>562</v>
      </c>
    </row>
    <row r="74" spans="1:20" x14ac:dyDescent="0.5">
      <c r="A74" s="7">
        <v>73</v>
      </c>
      <c r="B74" s="7" t="s">
        <v>49</v>
      </c>
      <c r="C74" s="7" t="s">
        <v>184</v>
      </c>
      <c r="D74" s="7" t="s">
        <v>437</v>
      </c>
      <c r="E74" s="8">
        <v>24900</v>
      </c>
      <c r="F74" s="7">
        <v>1680300330</v>
      </c>
      <c r="G74" s="15" t="s">
        <v>563</v>
      </c>
      <c r="H74" s="9">
        <v>10000067209414</v>
      </c>
      <c r="I74" s="7" t="s">
        <v>436</v>
      </c>
      <c r="J74" s="7" t="s">
        <v>564</v>
      </c>
      <c r="K74" s="7" t="s">
        <v>566</v>
      </c>
      <c r="L74" s="7" t="s">
        <v>441</v>
      </c>
      <c r="M74" s="7" t="s">
        <v>442</v>
      </c>
      <c r="N74" s="7" t="s">
        <v>565</v>
      </c>
      <c r="O74" s="7" t="s">
        <v>444</v>
      </c>
      <c r="R74" s="7" t="s">
        <v>450</v>
      </c>
      <c r="T74" s="7" t="s">
        <v>566</v>
      </c>
    </row>
    <row r="75" spans="1:20" x14ac:dyDescent="0.5">
      <c r="A75" s="7">
        <v>74</v>
      </c>
      <c r="B75" s="7" t="s">
        <v>50</v>
      </c>
      <c r="C75" s="7" t="s">
        <v>185</v>
      </c>
      <c r="D75" s="7" t="s">
        <v>472</v>
      </c>
      <c r="E75" s="8">
        <v>33886</v>
      </c>
      <c r="F75" s="7">
        <v>2920300428</v>
      </c>
      <c r="G75" s="15" t="s">
        <v>800</v>
      </c>
      <c r="H75" s="9">
        <v>10000360055910</v>
      </c>
      <c r="I75" s="7" t="s">
        <v>436</v>
      </c>
      <c r="J75" s="7" t="s">
        <v>526</v>
      </c>
      <c r="K75" s="7" t="s">
        <v>566</v>
      </c>
      <c r="L75" s="7" t="s">
        <v>441</v>
      </c>
      <c r="M75" s="7" t="s">
        <v>442</v>
      </c>
      <c r="N75" s="7" t="s">
        <v>567</v>
      </c>
      <c r="O75" s="7" t="s">
        <v>442</v>
      </c>
      <c r="R75" s="7" t="s">
        <v>445</v>
      </c>
      <c r="T75" s="7" t="s">
        <v>566</v>
      </c>
    </row>
    <row r="76" spans="1:20" x14ac:dyDescent="0.5">
      <c r="A76" s="7">
        <v>75</v>
      </c>
      <c r="B76" s="7" t="s">
        <v>51</v>
      </c>
      <c r="C76" s="7" t="s">
        <v>186</v>
      </c>
      <c r="D76" s="7" t="s">
        <v>472</v>
      </c>
      <c r="E76" s="8">
        <v>32113</v>
      </c>
      <c r="F76" s="7">
        <v>2870600141</v>
      </c>
      <c r="G76" s="15" t="s">
        <v>568</v>
      </c>
      <c r="H76" s="9">
        <v>10000165482919</v>
      </c>
      <c r="I76" s="7" t="s">
        <v>436</v>
      </c>
      <c r="J76" s="7" t="s">
        <v>514</v>
      </c>
      <c r="K76" s="7" t="s">
        <v>570</v>
      </c>
      <c r="L76" s="7" t="s">
        <v>460</v>
      </c>
      <c r="M76" s="7" t="s">
        <v>442</v>
      </c>
      <c r="N76" s="7" t="s">
        <v>569</v>
      </c>
      <c r="O76" s="7" t="s">
        <v>444</v>
      </c>
      <c r="R76" s="7" t="s">
        <v>516</v>
      </c>
      <c r="T76" s="7" t="s">
        <v>570</v>
      </c>
    </row>
    <row r="77" spans="1:20" x14ac:dyDescent="0.5">
      <c r="A77" s="7">
        <v>76</v>
      </c>
      <c r="B77" s="7" t="s">
        <v>55</v>
      </c>
      <c r="C77" s="7" t="s">
        <v>190</v>
      </c>
      <c r="D77" s="7" t="s">
        <v>437</v>
      </c>
      <c r="E77" s="8">
        <v>24663</v>
      </c>
      <c r="F77" s="7">
        <v>1670300249</v>
      </c>
      <c r="G77" s="15" t="s">
        <v>571</v>
      </c>
      <c r="H77" s="9">
        <v>10000017463919</v>
      </c>
      <c r="I77" s="7" t="s">
        <v>436</v>
      </c>
      <c r="J77" s="7" t="s">
        <v>465</v>
      </c>
      <c r="K77" s="7" t="s">
        <v>573</v>
      </c>
      <c r="L77" s="7" t="s">
        <v>479</v>
      </c>
      <c r="M77" s="7" t="s">
        <v>442</v>
      </c>
      <c r="N77" s="7" t="s">
        <v>461</v>
      </c>
      <c r="O77" s="7" t="s">
        <v>444</v>
      </c>
      <c r="R77" s="7" t="s">
        <v>572</v>
      </c>
      <c r="T77" s="7" t="s">
        <v>573</v>
      </c>
    </row>
    <row r="78" spans="1:20" x14ac:dyDescent="0.5">
      <c r="A78" s="7">
        <v>77</v>
      </c>
      <c r="B78" s="7" t="s">
        <v>56</v>
      </c>
      <c r="C78" s="7" t="s">
        <v>191</v>
      </c>
      <c r="D78" s="7" t="s">
        <v>472</v>
      </c>
      <c r="E78" s="8">
        <v>27677</v>
      </c>
      <c r="F78" s="7">
        <v>2750300112</v>
      </c>
      <c r="G78" s="15" t="s">
        <v>574</v>
      </c>
      <c r="H78" s="9">
        <v>10000057371919</v>
      </c>
      <c r="I78" s="7" t="s">
        <v>436</v>
      </c>
      <c r="J78" s="7" t="s">
        <v>575</v>
      </c>
      <c r="K78" s="7" t="s">
        <v>573</v>
      </c>
      <c r="L78" s="7" t="s">
        <v>479</v>
      </c>
      <c r="M78" s="7" t="s">
        <v>442</v>
      </c>
      <c r="N78" s="7" t="s">
        <v>576</v>
      </c>
      <c r="O78" s="7" t="s">
        <v>444</v>
      </c>
      <c r="R78" s="7" t="s">
        <v>577</v>
      </c>
      <c r="T78" s="7" t="s">
        <v>573</v>
      </c>
    </row>
    <row r="79" spans="1:20" x14ac:dyDescent="0.5">
      <c r="A79" s="7">
        <v>78</v>
      </c>
      <c r="B79" s="7" t="s">
        <v>58</v>
      </c>
      <c r="C79" s="7" t="s">
        <v>193</v>
      </c>
      <c r="D79" s="7" t="s">
        <v>437</v>
      </c>
      <c r="E79" s="7" t="s">
        <v>578</v>
      </c>
      <c r="F79" s="7">
        <v>1840300118</v>
      </c>
      <c r="G79" s="15" t="s">
        <v>579</v>
      </c>
      <c r="H79" s="9">
        <v>10000165486818</v>
      </c>
      <c r="I79" s="7" t="s">
        <v>436</v>
      </c>
      <c r="J79" s="7" t="s">
        <v>545</v>
      </c>
      <c r="K79" s="7" t="s">
        <v>580</v>
      </c>
      <c r="L79" s="7" t="s">
        <v>479</v>
      </c>
      <c r="M79" s="7" t="s">
        <v>442</v>
      </c>
      <c r="N79" s="7" t="s">
        <v>565</v>
      </c>
      <c r="O79" s="7" t="s">
        <v>444</v>
      </c>
      <c r="R79" s="7" t="s">
        <v>502</v>
      </c>
      <c r="T79" s="7" t="s">
        <v>580</v>
      </c>
    </row>
    <row r="80" spans="1:20" x14ac:dyDescent="0.5">
      <c r="A80" s="7">
        <v>79</v>
      </c>
      <c r="B80" s="7" t="s">
        <v>57</v>
      </c>
      <c r="C80" s="7" t="s">
        <v>192</v>
      </c>
      <c r="D80" s="7" t="s">
        <v>472</v>
      </c>
      <c r="E80" s="8">
        <v>29282</v>
      </c>
      <c r="F80" s="7">
        <v>2800300262</v>
      </c>
      <c r="G80" s="15" t="s">
        <v>581</v>
      </c>
      <c r="H80" s="9">
        <v>10000018693010</v>
      </c>
      <c r="I80" s="7" t="s">
        <v>436</v>
      </c>
      <c r="J80" s="7" t="s">
        <v>582</v>
      </c>
      <c r="K80" s="7" t="s">
        <v>573</v>
      </c>
      <c r="L80" s="7" t="s">
        <v>479</v>
      </c>
      <c r="M80" s="7" t="s">
        <v>442</v>
      </c>
      <c r="N80" s="7" t="s">
        <v>583</v>
      </c>
      <c r="O80" s="7" t="s">
        <v>444</v>
      </c>
      <c r="R80" s="7" t="s">
        <v>445</v>
      </c>
      <c r="T80" s="7" t="s">
        <v>573</v>
      </c>
    </row>
    <row r="81" spans="1:20" x14ac:dyDescent="0.5">
      <c r="A81" s="7">
        <v>80</v>
      </c>
      <c r="B81" s="7" t="s">
        <v>59</v>
      </c>
      <c r="C81" s="7" t="s">
        <v>194</v>
      </c>
      <c r="D81" s="7" t="s">
        <v>437</v>
      </c>
      <c r="E81" s="7" t="s">
        <v>584</v>
      </c>
      <c r="F81" s="7">
        <v>1840600176</v>
      </c>
      <c r="G81" s="15" t="s">
        <v>585</v>
      </c>
      <c r="H81" s="9">
        <v>10000063170111</v>
      </c>
      <c r="I81" s="7" t="s">
        <v>436</v>
      </c>
      <c r="J81" s="7" t="s">
        <v>518</v>
      </c>
      <c r="K81" s="7" t="s">
        <v>573</v>
      </c>
      <c r="L81" s="7" t="s">
        <v>479</v>
      </c>
      <c r="M81" s="7" t="s">
        <v>442</v>
      </c>
      <c r="N81" s="7" t="s">
        <v>586</v>
      </c>
      <c r="O81" s="7" t="s">
        <v>444</v>
      </c>
      <c r="R81" s="7" t="s">
        <v>450</v>
      </c>
      <c r="T81" s="7" t="s">
        <v>573</v>
      </c>
    </row>
    <row r="82" spans="1:20" x14ac:dyDescent="0.5">
      <c r="A82" s="7">
        <v>81</v>
      </c>
      <c r="B82" s="7" t="s">
        <v>60</v>
      </c>
      <c r="C82" s="7" t="s">
        <v>195</v>
      </c>
      <c r="D82" s="7" t="s">
        <v>437</v>
      </c>
      <c r="E82" s="8">
        <v>30233</v>
      </c>
      <c r="F82" s="7">
        <v>1820300058</v>
      </c>
      <c r="G82" s="15" t="s">
        <v>587</v>
      </c>
      <c r="H82" s="9">
        <v>10000063829010</v>
      </c>
      <c r="I82" s="7" t="s">
        <v>436</v>
      </c>
      <c r="J82" s="7" t="s">
        <v>518</v>
      </c>
      <c r="K82" s="7" t="s">
        <v>573</v>
      </c>
      <c r="L82" s="7" t="s">
        <v>479</v>
      </c>
      <c r="M82" s="7" t="s">
        <v>442</v>
      </c>
      <c r="N82" s="7" t="s">
        <v>479</v>
      </c>
      <c r="O82" s="7" t="s">
        <v>444</v>
      </c>
      <c r="R82" s="7" t="s">
        <v>445</v>
      </c>
      <c r="T82" s="7" t="s">
        <v>573</v>
      </c>
    </row>
    <row r="83" spans="1:20" x14ac:dyDescent="0.5">
      <c r="A83" s="7">
        <v>82</v>
      </c>
      <c r="B83" s="7" t="s">
        <v>61</v>
      </c>
      <c r="C83" s="7" t="s">
        <v>196</v>
      </c>
      <c r="D83" s="7" t="s">
        <v>437</v>
      </c>
      <c r="E83" s="8">
        <v>25996</v>
      </c>
      <c r="F83" s="7">
        <v>1710300321</v>
      </c>
      <c r="G83" s="15" t="s">
        <v>588</v>
      </c>
      <c r="H83" s="9">
        <v>10000059384626</v>
      </c>
      <c r="I83" s="7" t="s">
        <v>436</v>
      </c>
      <c r="J83" s="7" t="s">
        <v>589</v>
      </c>
      <c r="K83" s="7" t="s">
        <v>573</v>
      </c>
      <c r="L83" s="7" t="s">
        <v>469</v>
      </c>
      <c r="M83" s="7" t="s">
        <v>480</v>
      </c>
      <c r="N83" s="7" t="s">
        <v>565</v>
      </c>
      <c r="O83" s="7" t="s">
        <v>444</v>
      </c>
      <c r="R83" s="7" t="s">
        <v>445</v>
      </c>
      <c r="T83" s="7" t="s">
        <v>573</v>
      </c>
    </row>
    <row r="84" spans="1:20" x14ac:dyDescent="0.5">
      <c r="A84" s="7">
        <v>83</v>
      </c>
      <c r="B84" s="7" t="s">
        <v>62</v>
      </c>
      <c r="C84" s="7" t="s">
        <v>197</v>
      </c>
      <c r="D84" s="7" t="s">
        <v>437</v>
      </c>
      <c r="E84" s="8">
        <v>30295</v>
      </c>
      <c r="F84" s="7">
        <v>1820300041</v>
      </c>
      <c r="G84" s="15" t="s">
        <v>590</v>
      </c>
      <c r="H84" s="9">
        <v>34470169073215</v>
      </c>
      <c r="I84" s="7" t="s">
        <v>436</v>
      </c>
      <c r="J84" s="7" t="s">
        <v>478</v>
      </c>
      <c r="K84" s="7" t="s">
        <v>573</v>
      </c>
      <c r="L84" s="7" t="s">
        <v>479</v>
      </c>
      <c r="M84" s="7" t="s">
        <v>480</v>
      </c>
      <c r="N84" s="7" t="s">
        <v>591</v>
      </c>
      <c r="O84" s="7" t="s">
        <v>444</v>
      </c>
      <c r="R84" s="7" t="s">
        <v>516</v>
      </c>
      <c r="T84" s="7" t="s">
        <v>573</v>
      </c>
    </row>
    <row r="85" spans="1:20" x14ac:dyDescent="0.5">
      <c r="A85" s="7">
        <v>84</v>
      </c>
      <c r="B85" s="7" t="s">
        <v>63</v>
      </c>
      <c r="C85" s="7" t="s">
        <v>198</v>
      </c>
      <c r="D85" s="7" t="s">
        <v>472</v>
      </c>
      <c r="E85" s="7" t="s">
        <v>592</v>
      </c>
      <c r="F85" s="7">
        <v>2820300165</v>
      </c>
      <c r="G85" s="15" t="s">
        <v>593</v>
      </c>
      <c r="H85" s="9">
        <v>10000166543616</v>
      </c>
      <c r="I85" s="7" t="s">
        <v>436</v>
      </c>
      <c r="J85" s="7" t="s">
        <v>594</v>
      </c>
      <c r="K85" s="7" t="s">
        <v>573</v>
      </c>
      <c r="L85" s="7" t="s">
        <v>479</v>
      </c>
      <c r="M85" s="7" t="s">
        <v>480</v>
      </c>
      <c r="N85" s="7" t="s">
        <v>595</v>
      </c>
      <c r="O85" s="7" t="s">
        <v>444</v>
      </c>
      <c r="R85" s="7" t="s">
        <v>596</v>
      </c>
      <c r="T85" s="7" t="s">
        <v>573</v>
      </c>
    </row>
    <row r="86" spans="1:20" x14ac:dyDescent="0.5">
      <c r="A86" s="7">
        <v>85</v>
      </c>
      <c r="B86" s="7" t="s">
        <v>65</v>
      </c>
      <c r="C86" s="7" t="s">
        <v>200</v>
      </c>
      <c r="D86" s="7" t="s">
        <v>437</v>
      </c>
      <c r="E86" s="8">
        <v>31962</v>
      </c>
      <c r="F86" s="7">
        <v>1872100269</v>
      </c>
      <c r="G86" s="15" t="s">
        <v>801</v>
      </c>
      <c r="H86" s="9">
        <v>10000110523535</v>
      </c>
      <c r="I86" s="7" t="s">
        <v>436</v>
      </c>
      <c r="J86" s="7" t="s">
        <v>518</v>
      </c>
      <c r="K86" s="7" t="s">
        <v>600</v>
      </c>
      <c r="L86" s="7" t="s">
        <v>597</v>
      </c>
      <c r="M86" s="7" t="s">
        <v>442</v>
      </c>
      <c r="N86" s="7" t="s">
        <v>598</v>
      </c>
      <c r="O86" s="7" t="s">
        <v>444</v>
      </c>
      <c r="R86" s="7" t="s">
        <v>599</v>
      </c>
      <c r="T86" s="7" t="s">
        <v>600</v>
      </c>
    </row>
    <row r="87" spans="1:20" x14ac:dyDescent="0.5">
      <c r="A87" s="7">
        <v>86</v>
      </c>
      <c r="B87" s="7" t="s">
        <v>66</v>
      </c>
      <c r="C87" s="7" t="s">
        <v>201</v>
      </c>
      <c r="D87" s="7" t="s">
        <v>437</v>
      </c>
      <c r="E87" s="7" t="s">
        <v>601</v>
      </c>
      <c r="F87" s="7">
        <v>1821000140</v>
      </c>
      <c r="G87" s="15" t="s">
        <v>602</v>
      </c>
      <c r="H87" s="9">
        <v>10000061908010</v>
      </c>
      <c r="I87" s="7" t="s">
        <v>436</v>
      </c>
      <c r="J87" s="7" t="s">
        <v>518</v>
      </c>
      <c r="K87" s="7" t="s">
        <v>606</v>
      </c>
      <c r="L87" s="7" t="s">
        <v>603</v>
      </c>
      <c r="M87" s="7" t="s">
        <v>442</v>
      </c>
      <c r="N87" s="7" t="s">
        <v>604</v>
      </c>
      <c r="O87" s="7" t="s">
        <v>444</v>
      </c>
      <c r="R87" s="7" t="s">
        <v>605</v>
      </c>
      <c r="T87" s="7" t="s">
        <v>606</v>
      </c>
    </row>
    <row r="88" spans="1:20" x14ac:dyDescent="0.5">
      <c r="A88" s="7">
        <v>87</v>
      </c>
      <c r="B88" s="7" t="s">
        <v>64</v>
      </c>
      <c r="C88" s="7" t="s">
        <v>199</v>
      </c>
      <c r="D88" s="7" t="s">
        <v>472</v>
      </c>
      <c r="E88" s="8">
        <v>25883</v>
      </c>
      <c r="F88" s="7">
        <v>2702100269</v>
      </c>
      <c r="G88" s="15" t="s">
        <v>607</v>
      </c>
      <c r="H88" s="9">
        <v>10000089161414</v>
      </c>
      <c r="I88" s="7" t="s">
        <v>436</v>
      </c>
      <c r="J88" s="7" t="s">
        <v>808</v>
      </c>
      <c r="K88" s="7" t="s">
        <v>600</v>
      </c>
      <c r="L88" s="7" t="s">
        <v>597</v>
      </c>
      <c r="M88" s="7" t="s">
        <v>442</v>
      </c>
      <c r="N88" s="7" t="s">
        <v>608</v>
      </c>
      <c r="O88" s="7" t="s">
        <v>444</v>
      </c>
      <c r="R88" s="7" t="s">
        <v>450</v>
      </c>
      <c r="T88" s="7" t="s">
        <v>600</v>
      </c>
    </row>
    <row r="89" spans="1:20" x14ac:dyDescent="0.5">
      <c r="A89" s="7">
        <v>88</v>
      </c>
      <c r="B89" s="7" t="s">
        <v>67</v>
      </c>
      <c r="C89" s="7" t="s">
        <v>202</v>
      </c>
      <c r="D89" s="7" t="s">
        <v>437</v>
      </c>
      <c r="E89" s="7" t="s">
        <v>609</v>
      </c>
      <c r="F89" s="7">
        <v>1860300387</v>
      </c>
      <c r="G89" s="15" t="s">
        <v>610</v>
      </c>
      <c r="H89" s="9">
        <v>10000194042229</v>
      </c>
      <c r="I89" s="7" t="s">
        <v>436</v>
      </c>
      <c r="J89" s="7" t="s">
        <v>551</v>
      </c>
      <c r="K89" s="7" t="s">
        <v>600</v>
      </c>
      <c r="L89" s="7" t="s">
        <v>597</v>
      </c>
      <c r="M89" s="7" t="s">
        <v>442</v>
      </c>
      <c r="N89" s="7" t="s">
        <v>611</v>
      </c>
      <c r="O89" s="7" t="s">
        <v>444</v>
      </c>
      <c r="R89" s="7" t="s">
        <v>612</v>
      </c>
      <c r="T89" s="7" t="s">
        <v>600</v>
      </c>
    </row>
    <row r="90" spans="1:20" x14ac:dyDescent="0.5">
      <c r="A90" s="7">
        <v>89</v>
      </c>
      <c r="B90" s="7" t="s">
        <v>68</v>
      </c>
      <c r="C90" s="7" t="s">
        <v>203</v>
      </c>
      <c r="D90" s="7" t="s">
        <v>472</v>
      </c>
      <c r="E90" s="8">
        <v>33301</v>
      </c>
      <c r="F90" s="7">
        <v>2910300320</v>
      </c>
      <c r="G90" s="15" t="s">
        <v>613</v>
      </c>
      <c r="H90" s="9">
        <v>10000250881410</v>
      </c>
      <c r="I90" s="7" t="s">
        <v>436</v>
      </c>
      <c r="J90" s="7" t="s">
        <v>614</v>
      </c>
      <c r="K90" s="7" t="s">
        <v>600</v>
      </c>
      <c r="L90" s="7" t="s">
        <v>597</v>
      </c>
      <c r="M90" s="7" t="s">
        <v>442</v>
      </c>
      <c r="N90" s="7" t="s">
        <v>615</v>
      </c>
      <c r="O90" s="7" t="s">
        <v>444</v>
      </c>
      <c r="R90" s="7" t="s">
        <v>516</v>
      </c>
      <c r="T90" s="7" t="s">
        <v>600</v>
      </c>
    </row>
    <row r="91" spans="1:20" x14ac:dyDescent="0.5">
      <c r="A91" s="7">
        <v>90</v>
      </c>
      <c r="B91" s="7" t="s">
        <v>69</v>
      </c>
      <c r="C91" s="7" t="s">
        <v>204</v>
      </c>
      <c r="D91" s="7" t="s">
        <v>437</v>
      </c>
      <c r="E91" s="8">
        <v>33787</v>
      </c>
      <c r="F91" s="7">
        <v>1920300331</v>
      </c>
      <c r="G91" s="15" t="s">
        <v>616</v>
      </c>
      <c r="H91" s="9">
        <v>10000134394318</v>
      </c>
      <c r="I91" s="7" t="s">
        <v>436</v>
      </c>
      <c r="J91" s="7" t="s">
        <v>526</v>
      </c>
      <c r="K91" s="7" t="s">
        <v>620</v>
      </c>
      <c r="L91" s="7" t="s">
        <v>617</v>
      </c>
      <c r="M91" s="7" t="s">
        <v>442</v>
      </c>
      <c r="N91" s="7" t="s">
        <v>618</v>
      </c>
      <c r="O91" s="7" t="s">
        <v>444</v>
      </c>
      <c r="R91" s="7" t="s">
        <v>619</v>
      </c>
      <c r="T91" s="7" t="s">
        <v>620</v>
      </c>
    </row>
    <row r="92" spans="1:20" x14ac:dyDescent="0.5">
      <c r="A92" s="7">
        <v>91</v>
      </c>
      <c r="B92" s="7" t="s">
        <v>73</v>
      </c>
      <c r="C92" s="7" t="s">
        <v>208</v>
      </c>
      <c r="D92" s="7" t="s">
        <v>472</v>
      </c>
      <c r="E92" s="7" t="s">
        <v>621</v>
      </c>
      <c r="F92" s="7">
        <v>2840300235</v>
      </c>
      <c r="G92" s="15" t="s">
        <v>622</v>
      </c>
      <c r="H92" s="9">
        <v>10000166365414</v>
      </c>
      <c r="I92" s="7" t="s">
        <v>436</v>
      </c>
      <c r="J92" s="7" t="s">
        <v>518</v>
      </c>
      <c r="K92" s="7" t="s">
        <v>460</v>
      </c>
      <c r="L92" s="7" t="s">
        <v>460</v>
      </c>
      <c r="M92" s="7" t="s">
        <v>442</v>
      </c>
      <c r="N92" s="7" t="s">
        <v>460</v>
      </c>
      <c r="O92" s="7" t="s">
        <v>442</v>
      </c>
      <c r="R92" s="7" t="s">
        <v>450</v>
      </c>
      <c r="T92" s="7" t="s">
        <v>460</v>
      </c>
    </row>
    <row r="93" spans="1:20" x14ac:dyDescent="0.5">
      <c r="A93" s="7">
        <v>92</v>
      </c>
      <c r="B93" s="7" t="s">
        <v>74</v>
      </c>
      <c r="C93" s="7" t="s">
        <v>209</v>
      </c>
      <c r="D93" s="7" t="s">
        <v>437</v>
      </c>
      <c r="E93" s="8">
        <v>24841</v>
      </c>
      <c r="F93" s="7">
        <v>1680300327</v>
      </c>
      <c r="G93" s="15" t="s">
        <v>623</v>
      </c>
      <c r="H93" s="9">
        <v>10000165439313</v>
      </c>
      <c r="I93" s="7" t="s">
        <v>436</v>
      </c>
      <c r="J93" s="7" t="s">
        <v>484</v>
      </c>
      <c r="K93" s="7" t="s">
        <v>626</v>
      </c>
      <c r="L93" s="7" t="s">
        <v>460</v>
      </c>
      <c r="M93" s="7" t="s">
        <v>480</v>
      </c>
      <c r="N93" s="7" t="s">
        <v>624</v>
      </c>
      <c r="O93" s="7" t="s">
        <v>480</v>
      </c>
      <c r="R93" s="7" t="s">
        <v>625</v>
      </c>
      <c r="T93" s="7" t="s">
        <v>626</v>
      </c>
    </row>
    <row r="94" spans="1:20" x14ac:dyDescent="0.5">
      <c r="A94" s="7">
        <v>93</v>
      </c>
      <c r="B94" s="7" t="s">
        <v>72</v>
      </c>
      <c r="C94" s="7" t="s">
        <v>207</v>
      </c>
      <c r="D94" s="7" t="s">
        <v>437</v>
      </c>
      <c r="E94" s="8">
        <v>29862</v>
      </c>
      <c r="F94" s="7">
        <v>1811400192</v>
      </c>
      <c r="G94" s="15" t="s">
        <v>627</v>
      </c>
      <c r="H94" s="9">
        <v>34540159643119</v>
      </c>
      <c r="I94" s="7" t="s">
        <v>436</v>
      </c>
      <c r="J94" s="7" t="s">
        <v>628</v>
      </c>
      <c r="K94" s="7" t="s">
        <v>630</v>
      </c>
      <c r="L94" s="7" t="s">
        <v>460</v>
      </c>
      <c r="M94" s="7" t="s">
        <v>442</v>
      </c>
      <c r="N94" s="7" t="s">
        <v>629</v>
      </c>
      <c r="O94" s="7" t="s">
        <v>442</v>
      </c>
      <c r="R94" s="7" t="s">
        <v>450</v>
      </c>
      <c r="T94" s="7" t="s">
        <v>630</v>
      </c>
    </row>
    <row r="95" spans="1:20" x14ac:dyDescent="0.5">
      <c r="A95" s="7">
        <v>94</v>
      </c>
      <c r="B95" s="7" t="s">
        <v>75</v>
      </c>
      <c r="C95" s="7" t="s">
        <v>210</v>
      </c>
      <c r="D95" s="7" t="s">
        <v>437</v>
      </c>
      <c r="E95" s="8">
        <v>26947</v>
      </c>
      <c r="F95" s="7">
        <v>1730500353</v>
      </c>
      <c r="G95" s="15" t="s">
        <v>631</v>
      </c>
      <c r="H95" s="9">
        <v>10000166286919</v>
      </c>
      <c r="I95" s="7" t="s">
        <v>436</v>
      </c>
      <c r="J95" s="7" t="s">
        <v>459</v>
      </c>
      <c r="K95" s="7" t="s">
        <v>635</v>
      </c>
      <c r="L95" s="7" t="s">
        <v>632</v>
      </c>
      <c r="M95" s="7" t="s">
        <v>442</v>
      </c>
      <c r="N95" s="7" t="s">
        <v>633</v>
      </c>
      <c r="O95" s="7" t="s">
        <v>444</v>
      </c>
      <c r="R95" s="7" t="s">
        <v>634</v>
      </c>
      <c r="T95" s="7" t="s">
        <v>635</v>
      </c>
    </row>
    <row r="96" spans="1:20" x14ac:dyDescent="0.5">
      <c r="A96" s="7">
        <v>95</v>
      </c>
      <c r="B96" s="7" t="s">
        <v>42</v>
      </c>
      <c r="C96" s="7" t="s">
        <v>177</v>
      </c>
      <c r="D96" s="7" t="s">
        <v>437</v>
      </c>
      <c r="E96" s="8">
        <v>24537</v>
      </c>
      <c r="F96" s="7">
        <v>1670800495</v>
      </c>
      <c r="G96" s="15" t="s">
        <v>636</v>
      </c>
      <c r="H96" s="9">
        <v>10000166266212</v>
      </c>
      <c r="I96" s="7" t="s">
        <v>436</v>
      </c>
      <c r="J96" s="7" t="s">
        <v>637</v>
      </c>
      <c r="K96" s="7" t="s">
        <v>639</v>
      </c>
      <c r="L96" s="7" t="s">
        <v>500</v>
      </c>
      <c r="M96" s="7" t="s">
        <v>480</v>
      </c>
      <c r="N96" s="7" t="s">
        <v>638</v>
      </c>
      <c r="O96" s="7" t="s">
        <v>480</v>
      </c>
      <c r="R96" s="7" t="s">
        <v>502</v>
      </c>
      <c r="T96" s="7" t="s">
        <v>639</v>
      </c>
    </row>
    <row r="97" spans="1:20" x14ac:dyDescent="0.5">
      <c r="A97" s="7">
        <v>96</v>
      </c>
      <c r="B97" s="7" t="s">
        <v>640</v>
      </c>
      <c r="C97" s="7" t="s">
        <v>187</v>
      </c>
      <c r="D97" s="7" t="s">
        <v>437</v>
      </c>
      <c r="E97" s="8">
        <v>33848</v>
      </c>
      <c r="F97" s="7">
        <v>1920300193</v>
      </c>
      <c r="G97" s="15" t="s">
        <v>802</v>
      </c>
      <c r="H97" s="9">
        <v>38020250817218</v>
      </c>
      <c r="I97" s="7" t="s">
        <v>436</v>
      </c>
      <c r="J97" s="7" t="s">
        <v>551</v>
      </c>
      <c r="K97" s="7" t="s">
        <v>639</v>
      </c>
      <c r="L97" s="7" t="s">
        <v>546</v>
      </c>
      <c r="M97" s="7" t="s">
        <v>442</v>
      </c>
      <c r="N97" s="7" t="s">
        <v>641</v>
      </c>
      <c r="O97" s="7" t="s">
        <v>444</v>
      </c>
      <c r="R97" s="7" t="s">
        <v>642</v>
      </c>
      <c r="T97" s="7" t="s">
        <v>639</v>
      </c>
    </row>
    <row r="98" spans="1:20" x14ac:dyDescent="0.5">
      <c r="A98" s="7">
        <v>97</v>
      </c>
      <c r="B98" s="7" t="s">
        <v>54</v>
      </c>
      <c r="C98" s="7" t="s">
        <v>189</v>
      </c>
      <c r="D98" s="7" t="s">
        <v>472</v>
      </c>
      <c r="E98" s="8">
        <v>34254</v>
      </c>
      <c r="F98" s="7">
        <v>2930300307</v>
      </c>
      <c r="G98" s="15" t="s">
        <v>803</v>
      </c>
      <c r="H98" s="9">
        <v>34110251260918</v>
      </c>
      <c r="I98" s="7" t="s">
        <v>436</v>
      </c>
      <c r="J98" s="7" t="s">
        <v>526</v>
      </c>
      <c r="K98" s="7" t="s">
        <v>639</v>
      </c>
      <c r="L98" s="7" t="s">
        <v>479</v>
      </c>
      <c r="M98" s="7" t="s">
        <v>442</v>
      </c>
      <c r="N98" s="7" t="s">
        <v>611</v>
      </c>
      <c r="O98" s="7" t="s">
        <v>444</v>
      </c>
      <c r="R98" s="7" t="s">
        <v>642</v>
      </c>
      <c r="T98" s="7" t="s">
        <v>639</v>
      </c>
    </row>
    <row r="99" spans="1:20" x14ac:dyDescent="0.5">
      <c r="A99" s="7">
        <v>98</v>
      </c>
      <c r="B99" s="7" t="s">
        <v>53</v>
      </c>
      <c r="C99" s="7" t="s">
        <v>188</v>
      </c>
      <c r="D99" s="7" t="s">
        <v>437</v>
      </c>
      <c r="E99" s="8">
        <v>32971</v>
      </c>
      <c r="F99" s="7">
        <v>1900300145</v>
      </c>
      <c r="G99" s="15" t="s">
        <v>804</v>
      </c>
      <c r="H99" s="9">
        <v>34490170859616</v>
      </c>
      <c r="I99" s="7" t="s">
        <v>436</v>
      </c>
      <c r="J99" s="7" t="s">
        <v>643</v>
      </c>
      <c r="K99" s="7" t="s">
        <v>639</v>
      </c>
      <c r="L99" s="7" t="s">
        <v>479</v>
      </c>
      <c r="M99" s="7" t="s">
        <v>442</v>
      </c>
      <c r="N99" s="7" t="s">
        <v>644</v>
      </c>
      <c r="O99" s="7" t="s">
        <v>444</v>
      </c>
      <c r="R99" s="7" t="s">
        <v>645</v>
      </c>
      <c r="T99" s="7" t="s">
        <v>639</v>
      </c>
    </row>
    <row r="100" spans="1:20" x14ac:dyDescent="0.5">
      <c r="A100" s="7">
        <v>99</v>
      </c>
      <c r="B100" s="7" t="s">
        <v>36</v>
      </c>
      <c r="C100" s="7" t="s">
        <v>171</v>
      </c>
      <c r="D100" s="7" t="s">
        <v>472</v>
      </c>
      <c r="E100" s="8">
        <v>32969</v>
      </c>
      <c r="F100" s="7">
        <v>2900300246</v>
      </c>
      <c r="G100" s="15" t="s">
        <v>805</v>
      </c>
      <c r="H100" s="9">
        <v>34620171176717</v>
      </c>
      <c r="I100" s="7" t="s">
        <v>436</v>
      </c>
      <c r="J100" s="7" t="s">
        <v>628</v>
      </c>
      <c r="K100" s="7" t="s">
        <v>639</v>
      </c>
      <c r="L100" s="7" t="s">
        <v>530</v>
      </c>
      <c r="M100" s="7" t="s">
        <v>442</v>
      </c>
      <c r="N100" s="7" t="s">
        <v>646</v>
      </c>
      <c r="O100" s="7" t="s">
        <v>444</v>
      </c>
      <c r="R100" s="7" t="s">
        <v>647</v>
      </c>
      <c r="T100" s="7" t="s">
        <v>639</v>
      </c>
    </row>
    <row r="101" spans="1:20" x14ac:dyDescent="0.5">
      <c r="A101" s="7">
        <v>100</v>
      </c>
      <c r="B101" s="7" t="s">
        <v>648</v>
      </c>
      <c r="C101" s="7" t="s">
        <v>205</v>
      </c>
      <c r="D101" s="7" t="s">
        <v>437</v>
      </c>
      <c r="E101" s="7" t="s">
        <v>649</v>
      </c>
      <c r="F101" s="7">
        <v>1904800001</v>
      </c>
      <c r="G101" s="15" t="s">
        <v>806</v>
      </c>
      <c r="H101" s="9">
        <v>38450226977210</v>
      </c>
      <c r="I101" s="7" t="s">
        <v>436</v>
      </c>
      <c r="J101" s="7" t="s">
        <v>551</v>
      </c>
      <c r="K101" s="7" t="s">
        <v>639</v>
      </c>
      <c r="L101" s="7" t="s">
        <v>617</v>
      </c>
      <c r="M101" s="7" t="s">
        <v>442</v>
      </c>
      <c r="N101" s="7" t="s">
        <v>650</v>
      </c>
      <c r="O101" s="7" t="s">
        <v>444</v>
      </c>
      <c r="R101" s="7" t="s">
        <v>619</v>
      </c>
      <c r="T101" s="7" t="s">
        <v>639</v>
      </c>
    </row>
    <row r="102" spans="1:20" x14ac:dyDescent="0.5">
      <c r="A102" s="7">
        <v>101</v>
      </c>
      <c r="B102" s="7" t="s">
        <v>651</v>
      </c>
      <c r="C102" s="7" t="s">
        <v>206</v>
      </c>
      <c r="D102" s="7" t="s">
        <v>437</v>
      </c>
      <c r="E102" s="8">
        <v>33239</v>
      </c>
      <c r="F102" s="7">
        <v>1910800280</v>
      </c>
      <c r="G102" s="15" t="s">
        <v>807</v>
      </c>
      <c r="H102" s="9">
        <v>38710250784719</v>
      </c>
      <c r="I102" s="7" t="s">
        <v>436</v>
      </c>
      <c r="J102" s="7" t="s">
        <v>614</v>
      </c>
      <c r="K102" s="7" t="s">
        <v>639</v>
      </c>
      <c r="L102" s="7" t="s">
        <v>617</v>
      </c>
      <c r="M102" s="7" t="s">
        <v>442</v>
      </c>
      <c r="N102" s="7" t="s">
        <v>652</v>
      </c>
      <c r="O102" s="7" t="s">
        <v>444</v>
      </c>
      <c r="R102" s="7" t="s">
        <v>653</v>
      </c>
      <c r="T102" s="7" t="s">
        <v>639</v>
      </c>
    </row>
    <row r="103" spans="1:20" x14ac:dyDescent="0.5">
      <c r="A103" s="7">
        <v>102</v>
      </c>
      <c r="B103" s="7" t="s">
        <v>76</v>
      </c>
      <c r="C103" s="7" t="s">
        <v>211</v>
      </c>
      <c r="D103" s="7" t="s">
        <v>437</v>
      </c>
      <c r="E103" s="8">
        <v>34096</v>
      </c>
      <c r="F103" s="7">
        <v>1930700107</v>
      </c>
      <c r="G103" s="15" t="s">
        <v>654</v>
      </c>
      <c r="H103" s="9">
        <v>10000250819419</v>
      </c>
      <c r="I103" s="7" t="s">
        <v>436</v>
      </c>
      <c r="J103" s="7" t="s">
        <v>655</v>
      </c>
      <c r="K103" s="7" t="s">
        <v>658</v>
      </c>
      <c r="L103" s="7" t="s">
        <v>656</v>
      </c>
      <c r="M103" s="7" t="s">
        <v>480</v>
      </c>
      <c r="N103" s="7" t="s">
        <v>657</v>
      </c>
      <c r="O103" s="7" t="s">
        <v>480</v>
      </c>
      <c r="R103" s="7" t="s">
        <v>516</v>
      </c>
      <c r="T103" s="7" t="s">
        <v>658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2026-05-22T03:49:21Z</dcterms:modified>
</cp:coreProperties>
</file>