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D:\github\kc-tec\org-chart\"/>
    </mc:Choice>
  </mc:AlternateContent>
  <xr:revisionPtr revIDLastSave="0" documentId="13_ncr:1_{24CDEA29-45AF-4A2D-9CEB-1A983457429A}" xr6:coauthVersionLast="47" xr6:coauthVersionMax="47" xr10:uidLastSave="{00000000-0000-0000-0000-000000000000}"/>
  <bookViews>
    <workbookView xWindow="-107" yWindow="-107" windowWidth="20847" windowHeight="11111" xr2:uid="{00000000-000D-0000-FFFF-FFFF00000000}"/>
  </bookViews>
  <sheets>
    <sheet name="chart" sheetId="1" r:id="rId1"/>
    <sheet name="people" sheetId="2" r:id="rId2"/>
    <sheet name="assignmen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55" i="1" l="1"/>
  <c r="D51" i="1"/>
  <c r="D52" i="1"/>
  <c r="D53" i="1"/>
  <c r="D54" i="1"/>
  <c r="D50" i="1"/>
  <c r="A104" i="1"/>
  <c r="A105" i="1"/>
  <c r="D105" i="1"/>
  <c r="D104" i="1"/>
  <c r="F104" i="1"/>
  <c r="F105" i="1"/>
  <c r="A103" i="1"/>
  <c r="D103" i="1"/>
  <c r="F103" i="1"/>
  <c r="A100" i="1"/>
  <c r="A101" i="1"/>
  <c r="A102" i="1" s="1"/>
  <c r="D101" i="1"/>
  <c r="D102" i="1"/>
  <c r="D100" i="1"/>
  <c r="F100" i="1"/>
  <c r="F101" i="1"/>
  <c r="F102" i="1"/>
  <c r="A45" i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D46" i="1"/>
  <c r="D47" i="1"/>
  <c r="D45" i="1"/>
  <c r="F45" i="1"/>
  <c r="F46" i="1"/>
  <c r="F47" i="1"/>
  <c r="F98" i="1"/>
  <c r="F99" i="1"/>
  <c r="F92" i="1"/>
  <c r="F93" i="1"/>
  <c r="F94" i="1"/>
  <c r="F95" i="1"/>
  <c r="F96" i="1"/>
  <c r="F97" i="1"/>
  <c r="F81" i="1"/>
  <c r="F82" i="1"/>
  <c r="F83" i="1"/>
  <c r="F84" i="1"/>
  <c r="F85" i="1"/>
  <c r="F86" i="1"/>
  <c r="F87" i="1"/>
  <c r="F88" i="1"/>
  <c r="F89" i="1"/>
  <c r="F90" i="1"/>
  <c r="F91" i="1"/>
  <c r="F74" i="1"/>
  <c r="F75" i="1"/>
  <c r="F76" i="1"/>
  <c r="F77" i="1"/>
  <c r="F78" i="1"/>
  <c r="F79" i="1"/>
  <c r="F80" i="1"/>
  <c r="F63" i="1"/>
  <c r="F64" i="1"/>
  <c r="F65" i="1"/>
  <c r="F66" i="1"/>
  <c r="F67" i="1"/>
  <c r="F68" i="1"/>
  <c r="F69" i="1"/>
  <c r="F70" i="1"/>
  <c r="F71" i="1"/>
  <c r="F72" i="1"/>
  <c r="F73" i="1"/>
  <c r="F39" i="1"/>
  <c r="F40" i="1"/>
  <c r="F41" i="1"/>
  <c r="F42" i="1"/>
  <c r="F43" i="1"/>
  <c r="F55" i="1"/>
  <c r="F56" i="1"/>
  <c r="F57" i="1"/>
  <c r="F58" i="1"/>
  <c r="F59" i="1"/>
  <c r="F60" i="1"/>
  <c r="F61" i="1"/>
  <c r="F62" i="1"/>
  <c r="F30" i="1"/>
  <c r="F31" i="1"/>
  <c r="F32" i="1"/>
  <c r="F33" i="1"/>
  <c r="F34" i="1"/>
  <c r="F8" i="1"/>
  <c r="F9" i="1"/>
  <c r="F10" i="1"/>
  <c r="F11" i="1"/>
  <c r="F5" i="1"/>
  <c r="F6" i="1"/>
  <c r="F7" i="1"/>
  <c r="F3" i="1"/>
  <c r="F4" i="1"/>
  <c r="D4" i="1"/>
  <c r="D3" i="1"/>
  <c r="A3" i="1"/>
  <c r="D20" i="1" s="1"/>
  <c r="F22" i="1"/>
  <c r="F23" i="1"/>
  <c r="F24" i="1"/>
  <c r="F25" i="1"/>
  <c r="F26" i="1"/>
  <c r="F14" i="1"/>
  <c r="F15" i="1"/>
  <c r="F16" i="1"/>
  <c r="F17" i="1"/>
  <c r="F18" i="1"/>
  <c r="F19" i="1"/>
  <c r="F2" i="1"/>
  <c r="F12" i="1"/>
  <c r="F13" i="1"/>
  <c r="F20" i="1"/>
  <c r="F21" i="1"/>
  <c r="F27" i="1"/>
  <c r="F28" i="1"/>
  <c r="F29" i="1"/>
  <c r="F35" i="1"/>
  <c r="F36" i="1"/>
  <c r="F37" i="1"/>
  <c r="F38" i="1"/>
  <c r="F44" i="1"/>
  <c r="F48" i="1"/>
  <c r="F49" i="1"/>
  <c r="F51" i="1"/>
  <c r="F52" i="1"/>
  <c r="F53" i="1"/>
  <c r="F54" i="1"/>
  <c r="F50" i="1"/>
  <c r="D7" i="1" l="1"/>
  <c r="D5" i="1"/>
  <c r="D6" i="1"/>
  <c r="A4" i="1"/>
  <c r="D12" i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D8" i="1"/>
  <c r="D10" i="1"/>
  <c r="D11" i="1"/>
  <c r="D9" i="1"/>
  <c r="D35" i="1"/>
  <c r="D27" i="1"/>
  <c r="A29" i="1" l="1"/>
  <c r="D30" i="1"/>
  <c r="D13" i="1"/>
  <c r="A30" i="1" l="1"/>
  <c r="A31" i="1" s="1"/>
  <c r="A32" i="1" s="1"/>
  <c r="A33" i="1" s="1"/>
  <c r="A34" i="1" s="1"/>
  <c r="A35" i="1" s="1"/>
  <c r="A36" i="1" s="1"/>
  <c r="A37" i="1" s="1"/>
  <c r="A38" i="1" s="1"/>
  <c r="D32" i="1"/>
  <c r="D33" i="1"/>
  <c r="D34" i="1"/>
  <c r="D31" i="1"/>
  <c r="D14" i="1"/>
  <c r="D15" i="1"/>
  <c r="D18" i="1"/>
  <c r="D19" i="1"/>
  <c r="D16" i="1"/>
  <c r="D17" i="1"/>
  <c r="D39" i="1" l="1"/>
  <c r="D40" i="1"/>
  <c r="A39" i="1"/>
  <c r="D41" i="1"/>
  <c r="D43" i="1"/>
  <c r="D42" i="1"/>
  <c r="D21" i="1"/>
  <c r="D65" i="1" l="1"/>
  <c r="D66" i="1"/>
  <c r="D67" i="1"/>
  <c r="D68" i="1"/>
  <c r="D69" i="1"/>
  <c r="D70" i="1"/>
  <c r="D71" i="1"/>
  <c r="D72" i="1"/>
  <c r="D73" i="1"/>
  <c r="D63" i="1"/>
  <c r="A40" i="1"/>
  <c r="D64" i="1"/>
  <c r="D23" i="1"/>
  <c r="D24" i="1"/>
  <c r="D26" i="1"/>
  <c r="D22" i="1"/>
  <c r="D25" i="1"/>
  <c r="D79" i="1" l="1"/>
  <c r="D80" i="1"/>
  <c r="D74" i="1"/>
  <c r="D75" i="1"/>
  <c r="D76" i="1"/>
  <c r="A41" i="1"/>
  <c r="D77" i="1"/>
  <c r="D78" i="1"/>
  <c r="D38" i="1"/>
  <c r="D29" i="1"/>
  <c r="D44" i="1"/>
  <c r="D37" i="1"/>
  <c r="D28" i="1"/>
  <c r="D86" i="1" l="1"/>
  <c r="A42" i="1"/>
  <c r="D87" i="1"/>
  <c r="D88" i="1"/>
  <c r="D89" i="1"/>
  <c r="D90" i="1"/>
  <c r="D91" i="1"/>
  <c r="D81" i="1"/>
  <c r="D82" i="1"/>
  <c r="D83" i="1"/>
  <c r="D84" i="1"/>
  <c r="D85" i="1"/>
  <c r="D36" i="1"/>
  <c r="D92" i="1" l="1"/>
  <c r="A43" i="1"/>
  <c r="D93" i="1"/>
  <c r="D94" i="1"/>
  <c r="D95" i="1"/>
  <c r="D96" i="1"/>
  <c r="D97" i="1"/>
  <c r="D49" i="1"/>
  <c r="D48" i="1"/>
  <c r="D99" i="1" l="1"/>
  <c r="A44" i="1"/>
  <c r="D98" i="1"/>
  <c r="D60" i="1" l="1"/>
  <c r="D62" i="1"/>
  <c r="D59" i="1"/>
  <c r="D56" i="1"/>
  <c r="D57" i="1"/>
  <c r="D61" i="1"/>
  <c r="D5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F1" authorId="0" shapeId="0" xr:uid="{EA4FFF0A-A2DD-4116-A4FF-B0AC2AD9C4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People information</t>
        </r>
      </text>
    </comment>
  </commentList>
</comments>
</file>

<file path=xl/sharedStrings.xml><?xml version="1.0" encoding="utf-8"?>
<sst xmlns="http://schemas.openxmlformats.org/spreadsheetml/2006/main" count="1014" uniqueCount="434">
  <si>
    <t>id</t>
  </si>
  <si>
    <t>name</t>
  </si>
  <si>
    <t>description</t>
  </si>
  <si>
    <t>parent_id</t>
  </si>
  <si>
    <t>staff_department</t>
  </si>
  <si>
    <t>manager_id</t>
  </si>
  <si>
    <t>DATA_Location</t>
  </si>
  <si>
    <t/>
  </si>
  <si>
    <t>N</t>
  </si>
  <si>
    <t>photo</t>
  </si>
  <si>
    <t>functionName</t>
  </si>
  <si>
    <t>field_Phone</t>
  </si>
  <si>
    <t>field_Email</t>
  </si>
  <si>
    <t>field_Homepage</t>
  </si>
  <si>
    <t>field_Country</t>
  </si>
  <si>
    <t>field_City</t>
  </si>
  <si>
    <t>field_Street</t>
  </si>
  <si>
    <t>សេង ស៊ីម</t>
  </si>
  <si>
    <t>​​​​​​​​​​​​​​​​​​​​​​​​​​​​​​​​​​​1740600213</t>
  </si>
  <si>
    <t>តាយ ណារិន</t>
  </si>
  <si>
    <t>អ៊ុំ កេងម៉េង</t>
  </si>
  <si>
    <t>ហ៊ាត់ ប៊ុនហឿង</t>
  </si>
  <si>
    <t>អ៊ុក វណ្ណថាត</t>
  </si>
  <si>
    <t>ជូ សុផានី</t>
  </si>
  <si>
    <t>ខុន គង់</t>
  </si>
  <si>
    <t>ហ៊ឹង សុខចាន់</t>
  </si>
  <si>
    <t>ឱ ភិរ៉ាណ</t>
  </si>
  <si>
    <t>ចិន ផល្លា</t>
  </si>
  <si>
    <t>យ៉ែម រុំផា</t>
  </si>
  <si>
    <t>ឡាង គីមសេង</t>
  </si>
  <si>
    <t>ហេង សីហា</t>
  </si>
  <si>
    <t>គុំ រំដោះ</t>
  </si>
  <si>
    <t>សេង សុវ៉ាត</t>
  </si>
  <si>
    <t>លី ពិសិដ្ឋ</t>
  </si>
  <si>
    <t>គីន ស្រីឡែន</t>
  </si>
  <si>
    <t>ហេង សុផានិត</t>
  </si>
  <si>
    <t>នី រមនា</t>
  </si>
  <si>
    <t>ស៊ាង ស៊ាវលី</t>
  </si>
  <si>
    <t>អ៊ាង វិបុល</t>
  </si>
  <si>
    <t>ហេង ណាលីន</t>
  </si>
  <si>
    <t>រុន វួចនា</t>
  </si>
  <si>
    <t>ម៉ុក ចាន់រ៉ុង</t>
  </si>
  <si>
    <t>ប៊ិន ឈឿន</t>
  </si>
  <si>
    <t>ឡុង សុវ៉ាង</t>
  </si>
  <si>
    <t>ជឹម ជានី</t>
  </si>
  <si>
    <t>ថូយ ម៉ុងស្រេង</t>
  </si>
  <si>
    <t>នាង វឿន</t>
  </si>
  <si>
    <t>ឡៃ ចិន្តា</t>
  </si>
  <si>
    <t>វន និមល</t>
  </si>
  <si>
    <t>គំ ម៉េងហួ</t>
  </si>
  <si>
    <t>នីម ស៊ាងឡៃ</t>
  </si>
  <si>
    <t>កែម ចាន់ធាង</t>
  </si>
  <si>
    <t>ឆន ពិសិទ្ធ</t>
  </si>
  <si>
    <t>ម៉ៅ កុសល</t>
  </si>
  <si>
    <t>ស៊ាន វាសនា</t>
  </si>
  <si>
    <t>លី ភីរិទ្ធ</t>
  </si>
  <si>
    <t>ទុំ ស៊ីសុភារ៉េត</t>
  </si>
  <si>
    <t>ភួង ច័ន្ទលាភី</t>
  </si>
  <si>
    <t>ហ៊ុល ពិសិដ្ឋ</t>
  </si>
  <si>
    <t>យ៉ុង គឹមយី</t>
  </si>
  <si>
    <t>ជា សោភ័ណ្ឌសារៈ</t>
  </si>
  <si>
    <t>ហេង សុខា</t>
  </si>
  <si>
    <t>យួក សុខឃឿន</t>
  </si>
  <si>
    <t>នី រដ្ឋា</t>
  </si>
  <si>
    <t>ឈុន មួយលី</t>
  </si>
  <si>
    <t>កែម បូរី</t>
  </si>
  <si>
    <t>ពៅ សុផល</t>
  </si>
  <si>
    <t>ហូយ ធារី</t>
  </si>
  <si>
    <t>បោង អេងឡាង</t>
  </si>
  <si>
    <t>ឈុំ លាង</t>
  </si>
  <si>
    <t>សន រិទ្ធី</t>
  </si>
  <si>
    <t>មៀច ធុយ</t>
  </si>
  <si>
    <t>ទូច ប៊ុនឈីម</t>
  </si>
  <si>
    <t>ខាត់ ស្រីឡូត</t>
  </si>
  <si>
    <t>ហេង ខេង</t>
  </si>
  <si>
    <t>ទេព បុណ្ណមី</t>
  </si>
  <si>
    <t>ង៉ែត សុទ្ធា</t>
  </si>
  <si>
    <t>ព្រំ បូរ៉ាត</t>
  </si>
  <si>
    <t>ស៊ឹម ស៊ីណាត</t>
  </si>
  <si>
    <t>ព្រហ្ម មុន្នី</t>
  </si>
  <si>
    <t>ទេព ជីវសុទ្ធា</t>
  </si>
  <si>
    <t>មិត្ត ណារ៉េត</t>
  </si>
  <si>
    <t>សេង សត្យា</t>
  </si>
  <si>
    <t>ឌឿន អ៉ី</t>
  </si>
  <si>
    <t>កេត ធីតា</t>
  </si>
  <si>
    <t>ជា បញ្ញា</t>
  </si>
  <si>
    <t>ឃៀង អេងស៊ីម</t>
  </si>
  <si>
    <t>ស្រ៊ុន សុភក្ត្រ</t>
  </si>
  <si>
    <t>ឃិត លីដា</t>
  </si>
  <si>
    <t>ញឹម ស៊ាងលាភ</t>
  </si>
  <si>
    <t>ឃាង ចាន់ដេត</t>
  </si>
  <si>
    <t>ផល្លា សុម៉ាលីណា</t>
  </si>
  <si>
    <t>ជឹង លីដា</t>
  </si>
  <si>
    <t>មុំ វិចិត្រា</t>
  </si>
  <si>
    <t>មឿន សុខា</t>
  </si>
  <si>
    <t>ហម ហ្គេចលាង</t>
  </si>
  <si>
    <t>តាំង ស៊ីភឿន</t>
  </si>
  <si>
    <t>ផាន់ ហាច</t>
  </si>
  <si>
    <t>ឡុង ភិរម្យ</t>
  </si>
  <si>
    <t>កន ឈុននី</t>
  </si>
  <si>
    <t>សឹងហ៊ីណារុំ</t>
  </si>
  <si>
    <t>កង ថុល</t>
  </si>
  <si>
    <t>ទិត លក្ខិណា</t>
  </si>
  <si>
    <t>គឹម សុកញ្ញា</t>
  </si>
  <si>
    <t>សួន សុម៉ារ៉ា</t>
  </si>
  <si>
    <t>ឃឹម វ៉ាន់ឌី</t>
  </si>
  <si>
    <t>កឹម សុសិទ្ធា</t>
  </si>
  <si>
    <t>ស សុវឌ្ឍនា</t>
  </si>
  <si>
    <t>ហ៊ង សុខលាភ</t>
  </si>
  <si>
    <t>សឹង ហ៊ីណារិន</t>
  </si>
  <si>
    <t>ថូ សាវុធ</t>
  </si>
  <si>
    <t>ច្រឹក ធារី</t>
  </si>
  <si>
    <t>ជា តុលា</t>
  </si>
  <si>
    <t>កាក់ រតនា</t>
  </si>
  <si>
    <t>ហេម សោភា</t>
  </si>
  <si>
    <t>ឈួន សារ៉ាន</t>
  </si>
  <si>
    <t>សុក គឹមហ៊ាង</t>
  </si>
  <si>
    <t>ប៊ុន ច័ន្ទសុគន្ធា</t>
  </si>
  <si>
    <t>លី ស្រីពៅ</t>
  </si>
  <si>
    <t>ធុយ សុភត្រ្តា</t>
  </si>
  <si>
    <t>ថេង ធីណា</t>
  </si>
  <si>
    <t>បេង ហេង</t>
  </si>
  <si>
    <t>សន សុម៉ាលី</t>
  </si>
  <si>
    <t>ឈីន បូណាវត្តី</t>
  </si>
  <si>
    <t>ណោ រ៉ា</t>
  </si>
  <si>
    <t>ម៉ន សុឃា</t>
  </si>
  <si>
    <t>ហ៊ៅ គីមណៃ</t>
  </si>
  <si>
    <t>ទន់ សុគន្ធា</t>
  </si>
  <si>
    <t>សាត សំអាត</t>
  </si>
  <si>
    <t>សេង​ ​ សុផា</t>
  </si>
  <si>
    <t>ចុង ហ្វីនី</t>
  </si>
  <si>
    <t>សួង សុគន្ធា</t>
  </si>
  <si>
    <t>ខុន ធារី</t>
  </si>
  <si>
    <t>លី វណ្ណនីដា</t>
  </si>
  <si>
    <t>មាស រ៉ាដូ</t>
  </si>
  <si>
    <t>ម៉ង់ ចាន់ស៊ាងម៉ី</t>
  </si>
  <si>
    <t>ហាក់ សុវណ្ណរ៉ា</t>
  </si>
  <si>
    <t>គង់ ណាវីន</t>
  </si>
  <si>
    <t>ម៉ៅ ស្រីណេត</t>
  </si>
  <si>
    <t>យ៉េន បញ្ញា</t>
  </si>
  <si>
    <t>សន សុខឡៃ</t>
  </si>
  <si>
    <t>យក់ ឆៃយ៉ា</t>
  </si>
  <si>
    <t>បុគ្គលិក</t>
  </si>
  <si>
    <t>សមាជិកគណៈកម្មការគ្រប់គ្រងវិទ្យាស្ថាន</t>
  </si>
  <si>
    <t>Y</t>
  </si>
  <si>
    <t>គ្រូឧទ្ទេសគណិតវិទ្យា</t>
  </si>
  <si>
    <t>គ្រូឧទ្ទេសវិទ្យាសាស្ត្រ</t>
  </si>
  <si>
    <t>គ្រូឧទ្ទេសភាសាបរទេស</t>
  </si>
  <si>
    <t>គ្រូឧទ្ទេសភាសាខ្មែរ</t>
  </si>
  <si>
    <t>គ្រូឧទ្ទេសសិក្សាសង្គម</t>
  </si>
  <si>
    <t>គ្រូឧទ្ទេសចិត្តវិទ្យាអប់រំ</t>
  </si>
  <si>
    <t>គ្រូឧទ្ទេសកីឡា</t>
  </si>
  <si>
    <t>គ្រូឧទ្ទេសបណ្ណាល័យ</t>
  </si>
  <si>
    <t>en_name</t>
  </si>
  <si>
    <t>Seng Sim</t>
  </si>
  <si>
    <t>Tay Narin</t>
  </si>
  <si>
    <t>Um Kengmeng</t>
  </si>
  <si>
    <t>Hort Bunhoeurng</t>
  </si>
  <si>
    <t>Ouk Vanthat</t>
  </si>
  <si>
    <t>Chou Sophany</t>
  </si>
  <si>
    <t>Khon Kong</t>
  </si>
  <si>
    <t>Hoeung Sokchann</t>
  </si>
  <si>
    <t>Or Phiran</t>
  </si>
  <si>
    <t>Chen Phalla</t>
  </si>
  <si>
    <t>Yem Rompha</t>
  </si>
  <si>
    <t>Lang Kimseng</t>
  </si>
  <si>
    <t>Heng Seiha</t>
  </si>
  <si>
    <t>Kum Romdoh</t>
  </si>
  <si>
    <t>Seng Sovath</t>
  </si>
  <si>
    <t>Ly Piseth</t>
  </si>
  <si>
    <t>Kin Sreylen</t>
  </si>
  <si>
    <t>Heng Sophanit</t>
  </si>
  <si>
    <t>Ny Rumnea</t>
  </si>
  <si>
    <t>Seang Seavly</t>
  </si>
  <si>
    <t>Eang Vibol</t>
  </si>
  <si>
    <t>Heng Nalin</t>
  </si>
  <si>
    <t>Run Vouchnea</t>
  </si>
  <si>
    <t>Mok Chanrong</t>
  </si>
  <si>
    <t>Bin Chhoeurn</t>
  </si>
  <si>
    <t>Long Sovang</t>
  </si>
  <si>
    <t>Chim Cheany</t>
  </si>
  <si>
    <t>Thoy Mongsreng</t>
  </si>
  <si>
    <t>Neang Voeurn</t>
  </si>
  <si>
    <t>Lay Chinda</t>
  </si>
  <si>
    <t>Vorn Nimol</t>
  </si>
  <si>
    <t>Kum Menghour</t>
  </si>
  <si>
    <t>Nim Seanglai</t>
  </si>
  <si>
    <t>Kem Channtheang</t>
  </si>
  <si>
    <t>Chhorn Pisith</t>
  </si>
  <si>
    <t>Mao Kosal</t>
  </si>
  <si>
    <t>Sean Veasna</t>
  </si>
  <si>
    <t>Ly Phyrith</t>
  </si>
  <si>
    <t>Tum Sisopheareth</t>
  </si>
  <si>
    <t>Phuong Chanleaphy</t>
  </si>
  <si>
    <t>Hull Piseth</t>
  </si>
  <si>
    <t>Yong Kimyi</t>
  </si>
  <si>
    <t>Chea Sophansarak</t>
  </si>
  <si>
    <t>Heng Sokha</t>
  </si>
  <si>
    <t>Yourk Sokhoeurn</t>
  </si>
  <si>
    <t>Ny Ratha</t>
  </si>
  <si>
    <t>Choun Mouyly</t>
  </si>
  <si>
    <t>Kem Borey</t>
  </si>
  <si>
    <t>Poeu Sophal</t>
  </si>
  <si>
    <t>Hoy Theary</t>
  </si>
  <si>
    <t>Borng Englang</t>
  </si>
  <si>
    <t>Chhom Leang</t>
  </si>
  <si>
    <t>Sorn Rithy</t>
  </si>
  <si>
    <t>Miech Thuy</t>
  </si>
  <si>
    <t>Touch Bunchhim</t>
  </si>
  <si>
    <t>Khat Sreylot</t>
  </si>
  <si>
    <t>Heng Kheng</t>
  </si>
  <si>
    <t>Tep Ponnamey</t>
  </si>
  <si>
    <t>Ngeth Sothea</t>
  </si>
  <si>
    <t>Prom Borath</t>
  </si>
  <si>
    <t>Sim Sinath</t>
  </si>
  <si>
    <t>Prum Mony</t>
  </si>
  <si>
    <t>Tep Chivaksothea</t>
  </si>
  <si>
    <t>Mith Nareth</t>
  </si>
  <si>
    <t>Seng Sathia</t>
  </si>
  <si>
    <t>Doeun Y</t>
  </si>
  <si>
    <t>Keth Thyda</t>
  </si>
  <si>
    <t>Chea Phannha</t>
  </si>
  <si>
    <t>Kheang Engsim</t>
  </si>
  <si>
    <t>Srun Sopheak</t>
  </si>
  <si>
    <t>Khit Lida</t>
  </si>
  <si>
    <t>Gnim Seangleap</t>
  </si>
  <si>
    <t>Kheang Chandeth</t>
  </si>
  <si>
    <t>Phalla Somalina</t>
  </si>
  <si>
    <t>Ching Lida</t>
  </si>
  <si>
    <t>Mom Vichettra</t>
  </si>
  <si>
    <t>Moeun Sokha</t>
  </si>
  <si>
    <t>Ham Guechleang</t>
  </si>
  <si>
    <t>Taing Siphoeurn</t>
  </si>
  <si>
    <t>Phann Hach</t>
  </si>
  <si>
    <t>Long Phirom</t>
  </si>
  <si>
    <t>Kan Chhunny</t>
  </si>
  <si>
    <t>Soeung Hynarom</t>
  </si>
  <si>
    <t>Kang Thol</t>
  </si>
  <si>
    <t>Tith Leakhena</t>
  </si>
  <si>
    <t>Kim Sokanha</t>
  </si>
  <si>
    <t>Suon Somara</t>
  </si>
  <si>
    <t>Khim Vanndy</t>
  </si>
  <si>
    <t>Kem Sosethea</t>
  </si>
  <si>
    <t>Sar Sovathana</t>
  </si>
  <si>
    <t>Horng Sokleap</t>
  </si>
  <si>
    <t>Soeung Hynarin</t>
  </si>
  <si>
    <t>Tho Savuth</t>
  </si>
  <si>
    <t>Chroek Theary</t>
  </si>
  <si>
    <t>Chea Tola</t>
  </si>
  <si>
    <t>Kak Ratana</t>
  </si>
  <si>
    <t>Hem Sorphea</t>
  </si>
  <si>
    <t>Chhuon Saran</t>
  </si>
  <si>
    <t>Sok Kimheang</t>
  </si>
  <si>
    <t>Bun Chan Sokunthea</t>
  </si>
  <si>
    <t>Ly Sreypov</t>
  </si>
  <si>
    <t>Thuy Sopheaktra</t>
  </si>
  <si>
    <t>Theng Thina</t>
  </si>
  <si>
    <t>Beng Heng</t>
  </si>
  <si>
    <t>San Somaly</t>
  </si>
  <si>
    <t>Chhin Bonavattey</t>
  </si>
  <si>
    <t>Nor Ra</t>
  </si>
  <si>
    <t>Man Sokhea</t>
  </si>
  <si>
    <t>Hov Kimnay</t>
  </si>
  <si>
    <t>Tun Sokunthea</t>
  </si>
  <si>
    <t>Sat Somat</t>
  </si>
  <si>
    <t>Seng Sopha</t>
  </si>
  <si>
    <t>Chong Finy</t>
  </si>
  <si>
    <t>Suong Sokunthea</t>
  </si>
  <si>
    <t>Khon Theary</t>
  </si>
  <si>
    <t>Ly Vannyda</t>
  </si>
  <si>
    <t>Meas Rado</t>
  </si>
  <si>
    <t>Mang Chanseangmey</t>
  </si>
  <si>
    <t>Hak Sovanra</t>
  </si>
  <si>
    <t>Kong Navin</t>
  </si>
  <si>
    <t>Mao Sreynet</t>
  </si>
  <si>
    <t>Yen Panha</t>
  </si>
  <si>
    <t>Sorn Soklai</t>
  </si>
  <si>
    <t>Yuk Chaiya</t>
  </si>
  <si>
    <t>seng.sim</t>
  </si>
  <si>
    <t>tay.narin</t>
  </si>
  <si>
    <t>um.kengmeng</t>
  </si>
  <si>
    <t>hort.bunhoeurng</t>
  </si>
  <si>
    <t>ouk.vanthat</t>
  </si>
  <si>
    <t>chou.sophany</t>
  </si>
  <si>
    <t>khon.kong</t>
  </si>
  <si>
    <t>hoeung.sokchann</t>
  </si>
  <si>
    <t>or.phiran</t>
  </si>
  <si>
    <t>chen.phalla</t>
  </si>
  <si>
    <t>yem.rompha</t>
  </si>
  <si>
    <t>lang.kimseng</t>
  </si>
  <si>
    <t>heng.seiha</t>
  </si>
  <si>
    <t>kum.romdoh</t>
  </si>
  <si>
    <t>seng.sovath</t>
  </si>
  <si>
    <t>ly.piseth</t>
  </si>
  <si>
    <t>kin.sreylen</t>
  </si>
  <si>
    <t>heng.sophanit</t>
  </si>
  <si>
    <t>ny.rumnea</t>
  </si>
  <si>
    <t>seang.seavly</t>
  </si>
  <si>
    <t>eang.vibol</t>
  </si>
  <si>
    <t>heng.nalin</t>
  </si>
  <si>
    <t>run.vouchnea</t>
  </si>
  <si>
    <t>mok.chanrong</t>
  </si>
  <si>
    <t>bin.chhoeurn</t>
  </si>
  <si>
    <t>long.sovang</t>
  </si>
  <si>
    <t>chim.cheany</t>
  </si>
  <si>
    <t>thoy.mongsreng</t>
  </si>
  <si>
    <t>neang.voeurn</t>
  </si>
  <si>
    <t>lay.chinda</t>
  </si>
  <si>
    <t>vorn.nimol</t>
  </si>
  <si>
    <t>kum.menghour</t>
  </si>
  <si>
    <t>nim.seanglai</t>
  </si>
  <si>
    <t>kem.channtheang</t>
  </si>
  <si>
    <t>chhorn.pisith</t>
  </si>
  <si>
    <t>mao.kosal</t>
  </si>
  <si>
    <t>sean.veasna</t>
  </si>
  <si>
    <t>ly.phyrith</t>
  </si>
  <si>
    <t>tum.sisopheareth</t>
  </si>
  <si>
    <t>phuong.chanleaphy</t>
  </si>
  <si>
    <t>hull.piseth</t>
  </si>
  <si>
    <t>yong.kimyi</t>
  </si>
  <si>
    <t>chea.sophansarak</t>
  </si>
  <si>
    <t>heng.sokha</t>
  </si>
  <si>
    <t>yourk.sokhoeurn</t>
  </si>
  <si>
    <t>ny.ratha</t>
  </si>
  <si>
    <t>choun.mouyly</t>
  </si>
  <si>
    <t>kem.borey</t>
  </si>
  <si>
    <t>poeu.sophal</t>
  </si>
  <si>
    <t>hoy.theary</t>
  </si>
  <si>
    <t>borng.englang</t>
  </si>
  <si>
    <t>chhom.leang</t>
  </si>
  <si>
    <t>sorn.rithy</t>
  </si>
  <si>
    <t>miech.thuy</t>
  </si>
  <si>
    <t>touch.bunchhim</t>
  </si>
  <si>
    <t>khat.sreylot</t>
  </si>
  <si>
    <t>heng.kheng</t>
  </si>
  <si>
    <t>tep.ponnamey</t>
  </si>
  <si>
    <t>ngeth.sothea</t>
  </si>
  <si>
    <t>prom.borath</t>
  </si>
  <si>
    <t>sim.sinath</t>
  </si>
  <si>
    <t>prum.mony</t>
  </si>
  <si>
    <t>tep.chivaksothea</t>
  </si>
  <si>
    <t>mith.nareth</t>
  </si>
  <si>
    <t>seng.sathia</t>
  </si>
  <si>
    <t>doeun.y</t>
  </si>
  <si>
    <t>keth.thyda</t>
  </si>
  <si>
    <t>chea.phannha</t>
  </si>
  <si>
    <t>kheang.engsim</t>
  </si>
  <si>
    <t>srun.sopheak</t>
  </si>
  <si>
    <t>khit.lida</t>
  </si>
  <si>
    <t>gnim.seangleap</t>
  </si>
  <si>
    <t>kheang.chandeth</t>
  </si>
  <si>
    <t>phalla.somalina</t>
  </si>
  <si>
    <t>ching.lida</t>
  </si>
  <si>
    <t>mom.vichettra</t>
  </si>
  <si>
    <t>moeun.sokha</t>
  </si>
  <si>
    <t>ham.guechleang</t>
  </si>
  <si>
    <t>taing.siphoeurn</t>
  </si>
  <si>
    <t>phann.hach</t>
  </si>
  <si>
    <t>long.phirom</t>
  </si>
  <si>
    <t>kan.chhunny</t>
  </si>
  <si>
    <t>soeung.hynarom</t>
  </si>
  <si>
    <t>kang.thol</t>
  </si>
  <si>
    <t>tith.leakhena</t>
  </si>
  <si>
    <t>kim.sokanha</t>
  </si>
  <si>
    <t>suon.somara</t>
  </si>
  <si>
    <t>khim.vanndy</t>
  </si>
  <si>
    <t>kem.sosethea</t>
  </si>
  <si>
    <t>sar.sovathana</t>
  </si>
  <si>
    <t>horng.sokleap</t>
  </si>
  <si>
    <t>soeung.hynarin</t>
  </si>
  <si>
    <t>tho.savuth</t>
  </si>
  <si>
    <t>chroek.theary</t>
  </si>
  <si>
    <t>chea.tola</t>
  </si>
  <si>
    <t>kak.ratana</t>
  </si>
  <si>
    <t>hem.sorphea</t>
  </si>
  <si>
    <t>chhuon.saran</t>
  </si>
  <si>
    <t>sok.kimheang</t>
  </si>
  <si>
    <t>bun.chan.sokunthea</t>
  </si>
  <si>
    <t>ly.sreypov</t>
  </si>
  <si>
    <t>thuy.sopheaktra</t>
  </si>
  <si>
    <t>theng.thina</t>
  </si>
  <si>
    <t>beng.heng</t>
  </si>
  <si>
    <t>san.somaly</t>
  </si>
  <si>
    <t>chhin.bonavattey</t>
  </si>
  <si>
    <t>nor.ra</t>
  </si>
  <si>
    <t>man.sokhea</t>
  </si>
  <si>
    <t>hov.kimnay</t>
  </si>
  <si>
    <t>tun.sokunthea</t>
  </si>
  <si>
    <t>sat.somat</t>
  </si>
  <si>
    <t>seng.sopha</t>
  </si>
  <si>
    <t>chong.finy</t>
  </si>
  <si>
    <t>suong.sokunthea</t>
  </si>
  <si>
    <t>khon.theary</t>
  </si>
  <si>
    <t>ly.vannyda</t>
  </si>
  <si>
    <t>meas.rado</t>
  </si>
  <si>
    <t>mang.chanseangmey</t>
  </si>
  <si>
    <t>hak.sovanra</t>
  </si>
  <si>
    <t>kong.navin</t>
  </si>
  <si>
    <t>mao.sreynet</t>
  </si>
  <si>
    <t>yen.panha</t>
  </si>
  <si>
    <t>sorn.soklai</t>
  </si>
  <si>
    <t>yuk.chaiya</t>
  </si>
  <si>
    <t>គ្រូឧទ្ទេសព័ត៌មានវិទ្យា</t>
  </si>
  <si>
    <t>ប្រធ.គណៈកម្មការគ្រប់គ្រងវិទ្យាស្ថាន</t>
  </si>
  <si>
    <t>អនុប្រធ.គណៈកម្មការគ្រប់គ្រងវិទ្យាស្ថាន</t>
  </si>
  <si>
    <t>ប្រធ.​ការិយាល័យរដ្ឋបាល និងធនធានមនុស្ស</t>
  </si>
  <si>
    <t>អនុប្រធ.​ការិយាល័យរដ្ឋបាល និងធនធានមនុស្ស</t>
  </si>
  <si>
    <t>ប្រធ.​ការិយាល័យផែនការ និងហិរញ្ញវត្ថុ</t>
  </si>
  <si>
    <t>អនុប្រធ.​ការិយាល័យផែនការ និងហិរញ្ញវត្ថុ</t>
  </si>
  <si>
    <t>ប្រធ.​ការិយាល័យសិក្សា និងវិក្រឹតការ</t>
  </si>
  <si>
    <t>អនុប្រធ.​ការិយាល័យសិក្សា និងវិក្រឹតការ</t>
  </si>
  <si>
    <t>ប្រធ.ការិយាល័យធានាគុណភាពផ្ទៃក្នុង</t>
  </si>
  <si>
    <t>អនុប្រធ.ការិយាល័យធានាគុណភាពផ្ទៃក្នុង</t>
  </si>
  <si>
    <t>ប្រធ.ផ្នែកគណិតវិទ្យា និងវិទ្យាសាស្ត្រ</t>
  </si>
  <si>
    <t>ប្រធ.ផ្នែកភាសា និងវិទ្យាសាស្ត្រសង្គម</t>
  </si>
  <si>
    <t>ប្រធ.ផ្នែកបច្ចេកវិទ្យាឌីជីថន ស្រាវជ្រាវ និងបណ្ណាល័យ</t>
  </si>
  <si>
    <t>អនុប្រធ.ផ្នែក - ប្រធ.​ក្រ.​បច្ចេកទេសភាសាបរទេស</t>
  </si>
  <si>
    <t>អនុប្រធ.ផ្នែក - ប្រធ.​ក្រ.​បច្ចេកទេសសិក្សាសង្គម</t>
  </si>
  <si>
    <t>អនុប្រធ.ផ្នែក - ប្រធ.​ក្រ.​បច្ចេកទេសចិត្តវិទ្យាអប់រំ</t>
  </si>
  <si>
    <t>អនុប្រធ.ផ្នែក - ប្រធ.​ក្រ.​បច្ចេកទេសកីឡា</t>
  </si>
  <si>
    <t>អនុប្រធ.ផ្នែក - ប្រធ.​ក្រ.​បច្ចេកទេសព័ត៌មានវិទ្យា</t>
  </si>
  <si>
    <t>អនុប្រធ.ផ្នែក - ប្រធ.​ក្រ.​បច្ចេកទេសស្រាវជ្រាវ</t>
  </si>
  <si>
    <t>អនុប្រធ.ផ្នែក - ប្រធ.​ក្រ.​បច្ចេកទេសគណិតវិទ្យា</t>
  </si>
  <si>
    <t>អនុប្រធ.ផ្នែក - ប្រធ.​ក្រ.​បច្ចេកទេសវិទ្យាសាស្ត្រ</t>
  </si>
  <si>
    <t>អនុប្រធ.​ក្រ.​បច្ចេកទេសគណិតវិទ្យា</t>
  </si>
  <si>
    <t>អនុប្រធ.​ក្រ.​បច្ចេកទេសវិទ្យាសាស្ត្រ</t>
  </si>
  <si>
    <t>អនុប្រធ.​ក្រ.​បច្ចេកទេសភាសាបរទេស</t>
  </si>
  <si>
    <t>អនុប្រធ.​ក្រ.​បច្ចេកទេសភាសាខ្មែរ</t>
  </si>
  <si>
    <t>អនុប្រធ.​ក្រ.​បច្ចេកទេសសិក្សាសង្គម</t>
  </si>
  <si>
    <t>អនុប្រធ.​ក្រ.​បច្ចេកទេសចិត្តវិទ្យាអប់រំ</t>
  </si>
  <si>
    <t>អនុប្រធ.​ក្រ.​បច្ចេកទេសព័ត៌មានវិទ្យា</t>
  </si>
  <si>
    <t>អនុប្រធ.​ក្រ.​បច្ចេកទេសស្រាវជ្រាវ</t>
  </si>
  <si>
    <t>អនុប្រធ.​ក្រ.​បច្ចេកទេសបណ្ណាល័យ</t>
  </si>
  <si>
    <t>អនុប្រធ.ផ្នែក - ប្រធ.​ក្រ.​បច្ចេកទេសភាសាខ្មែរ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</si>
</sst>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sz val="10"/>
      <color theme="1"/>
      <name val="Hanuman"/>
      <family val="1"/>
    </font>
    <font>
      <sz val="12"/>
      <color theme="1"/>
      <name val="Hanuman"/>
      <family val="1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 wrapText="1"/>
    </xf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5"/>
  <sheetViews>
    <sheetView tabSelected="1" workbookViewId="0">
      <selection activeCell="B42" sqref="B42"/>
    </sheetView>
  </sheetViews>
  <sheetFormatPr defaultRowHeight="18.3" x14ac:dyDescent="0.6"/>
  <cols>
    <col min="1" max="1" width="6.36328125" style="2" customWidth="1"/>
    <col min="2" max="2" width="39.36328125" style="1" bestFit="1" customWidth="1"/>
    <col min="3" max="3" width="12.1796875" style="1" customWidth="1"/>
    <col min="4" max="4" width="7.54296875" style="1" customWidth="1"/>
    <col min="5" max="5" width="7.90625" style="1" bestFit="1" customWidth="1"/>
    <col min="6" max="6" width="31.6328125" style="3" bestFit="1" customWidth="1"/>
    <col min="7" max="7" width="13.54296875" style="1" customWidth="1"/>
    <col min="8" max="16384" width="8.7265625" style="1"/>
  </cols>
  <sheetData>
    <row r="1" spans="1:7" x14ac:dyDescent="0.6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</v>
      </c>
    </row>
    <row r="2" spans="1:7" x14ac:dyDescent="0.6">
      <c r="A2" s="2">
        <v>1</v>
      </c>
      <c r="B2" s="1" t="s">
        <v>403</v>
      </c>
      <c r="C2" s="1" t="s">
        <v>7</v>
      </c>
      <c r="D2" s="1" t="s">
        <v>7</v>
      </c>
      <c r="E2" s="1" t="s">
        <v>8</v>
      </c>
      <c r="F2" s="3">
        <f>INDEX(people!$A$2:$A$125, MATCH(G2,people!$B$2:$B$125, 0))</f>
        <v>1680300332</v>
      </c>
      <c r="G2" s="1" t="s">
        <v>17</v>
      </c>
    </row>
    <row r="3" spans="1:7" x14ac:dyDescent="0.6">
      <c r="A3" s="2">
        <f>A2+1</f>
        <v>2</v>
      </c>
      <c r="B3" s="1" t="s">
        <v>404</v>
      </c>
      <c r="D3" s="1">
        <f>A2</f>
        <v>1</v>
      </c>
      <c r="E3" s="1" t="s">
        <v>8</v>
      </c>
      <c r="F3" s="3">
        <f>INDEX(people!$A$2:$A$125, MATCH(G3,people!$B$2:$B$125, 0))</f>
        <v>1680800830</v>
      </c>
      <c r="G3" s="1" t="s">
        <v>77</v>
      </c>
    </row>
    <row r="4" spans="1:7" x14ac:dyDescent="0.6">
      <c r="A4" s="2">
        <f t="shared" ref="A4:A70" si="0">A3+1</f>
        <v>3</v>
      </c>
      <c r="B4" s="1" t="s">
        <v>404</v>
      </c>
      <c r="D4" s="1">
        <f>A2</f>
        <v>1</v>
      </c>
      <c r="E4" s="1" t="s">
        <v>8</v>
      </c>
      <c r="F4" s="3" t="str">
        <f>INDEX(people!$A$2:$A$125, MATCH(G4,people!$B$2:$B$125, 0))</f>
        <v>​​​​​​​​​​​​​​​​​​​​​​​​​​​​​​​​​​​1740600213</v>
      </c>
      <c r="G4" s="1" t="s">
        <v>19</v>
      </c>
    </row>
    <row r="5" spans="1:7" x14ac:dyDescent="0.6">
      <c r="A5" s="2">
        <f t="shared" si="0"/>
        <v>4</v>
      </c>
      <c r="B5" s="1" t="s">
        <v>143</v>
      </c>
      <c r="D5" s="1">
        <f>$A$3</f>
        <v>2</v>
      </c>
      <c r="E5" s="1" t="s">
        <v>144</v>
      </c>
      <c r="F5" s="3">
        <f>INDEX(people!$A$2:$A$125, MATCH(G5,people!$B$2:$B$125, 0))</f>
        <v>2690300192</v>
      </c>
      <c r="G5" s="1" t="s">
        <v>78</v>
      </c>
    </row>
    <row r="6" spans="1:7" x14ac:dyDescent="0.6">
      <c r="A6" s="2">
        <f t="shared" si="0"/>
        <v>5</v>
      </c>
      <c r="B6" s="1" t="s">
        <v>143</v>
      </c>
      <c r="D6" s="1">
        <f t="shared" ref="D6:D7" si="1">$A$3</f>
        <v>2</v>
      </c>
      <c r="E6" s="1" t="s">
        <v>144</v>
      </c>
      <c r="F6" s="3">
        <f>INDEX(people!$A$2:$A$125, MATCH(G6,people!$B$2:$B$125, 0))</f>
        <v>1710300275</v>
      </c>
      <c r="G6" s="1" t="s">
        <v>20</v>
      </c>
    </row>
    <row r="7" spans="1:7" x14ac:dyDescent="0.6">
      <c r="A7" s="2">
        <f t="shared" si="0"/>
        <v>6</v>
      </c>
      <c r="B7" s="1" t="s">
        <v>143</v>
      </c>
      <c r="D7" s="1">
        <f t="shared" si="1"/>
        <v>2</v>
      </c>
      <c r="E7" s="1" t="s">
        <v>144</v>
      </c>
      <c r="F7" s="3">
        <f>INDEX(people!$A$2:$A$125, MATCH(G7,people!$B$2:$B$125, 0))</f>
        <v>1931000087</v>
      </c>
      <c r="G7" s="1" t="s">
        <v>113</v>
      </c>
    </row>
    <row r="8" spans="1:7" x14ac:dyDescent="0.6">
      <c r="A8" s="2">
        <f t="shared" si="0"/>
        <v>7</v>
      </c>
      <c r="B8" s="1" t="s">
        <v>143</v>
      </c>
      <c r="D8" s="1">
        <f>$A$4</f>
        <v>3</v>
      </c>
      <c r="E8" s="1" t="s">
        <v>144</v>
      </c>
      <c r="F8" s="3">
        <f>INDEX(people!$A$2:$A$125, MATCH(G8,people!$B$2:$B$125, 0))</f>
        <v>1800800450</v>
      </c>
      <c r="G8" s="1" t="s">
        <v>79</v>
      </c>
    </row>
    <row r="9" spans="1:7" x14ac:dyDescent="0.6">
      <c r="A9" s="2">
        <f t="shared" si="0"/>
        <v>8</v>
      </c>
      <c r="B9" s="1" t="s">
        <v>143</v>
      </c>
      <c r="D9" s="1">
        <f t="shared" ref="D9:D11" si="2">$A$4</f>
        <v>3</v>
      </c>
      <c r="E9" s="1" t="s">
        <v>144</v>
      </c>
      <c r="F9" s="3">
        <f>INDEX(people!$A$2:$A$125, MATCH(G9,people!$B$2:$B$125, 0))</f>
        <v>1800300408</v>
      </c>
      <c r="G9" s="1" t="s">
        <v>43</v>
      </c>
    </row>
    <row r="10" spans="1:7" x14ac:dyDescent="0.6">
      <c r="A10" s="2">
        <f t="shared" si="0"/>
        <v>9</v>
      </c>
      <c r="B10" s="1" t="s">
        <v>143</v>
      </c>
      <c r="D10" s="1">
        <f t="shared" si="2"/>
        <v>3</v>
      </c>
      <c r="E10" s="1" t="s">
        <v>144</v>
      </c>
      <c r="F10" s="3">
        <f>INDEX(people!$A$2:$A$125, MATCH(G10,people!$B$2:$B$125, 0))</f>
        <v>1900300145</v>
      </c>
      <c r="G10" s="1" t="s">
        <v>53</v>
      </c>
    </row>
    <row r="11" spans="1:7" x14ac:dyDescent="0.6">
      <c r="A11" s="2">
        <f t="shared" si="0"/>
        <v>10</v>
      </c>
      <c r="B11" s="1" t="s">
        <v>143</v>
      </c>
      <c r="D11" s="1">
        <f t="shared" si="2"/>
        <v>3</v>
      </c>
      <c r="E11" s="1" t="s">
        <v>144</v>
      </c>
      <c r="F11" s="3">
        <f>INDEX(people!$A$2:$A$125, MATCH(G11,people!$B$2:$B$125, 0))</f>
        <v>2880300262</v>
      </c>
      <c r="G11" s="1" t="s">
        <v>40</v>
      </c>
    </row>
    <row r="12" spans="1:7" x14ac:dyDescent="0.6">
      <c r="A12" s="2">
        <f t="shared" si="0"/>
        <v>11</v>
      </c>
      <c r="B12" s="1" t="s">
        <v>405</v>
      </c>
      <c r="C12" s="1" t="s">
        <v>7</v>
      </c>
      <c r="D12" s="1">
        <f>A3</f>
        <v>2</v>
      </c>
      <c r="E12" s="1" t="s">
        <v>8</v>
      </c>
      <c r="F12" s="3">
        <f>INDEX(people!$A$2:$A$125, MATCH(G12,people!$B$2:$B$125, 0))</f>
        <v>2680300182</v>
      </c>
      <c r="G12" s="1" t="s">
        <v>109</v>
      </c>
    </row>
    <row r="13" spans="1:7" x14ac:dyDescent="0.6">
      <c r="A13" s="2">
        <f t="shared" si="0"/>
        <v>12</v>
      </c>
      <c r="B13" s="1" t="s">
        <v>406</v>
      </c>
      <c r="C13" s="1" t="s">
        <v>7</v>
      </c>
      <c r="D13" s="1">
        <f>A12</f>
        <v>11</v>
      </c>
      <c r="E13" s="1" t="s">
        <v>8</v>
      </c>
      <c r="F13" s="3">
        <f>INDEX(people!$A$2:$A$125, MATCH(G13,people!$B$2:$B$125, 0))</f>
        <v>1960300210</v>
      </c>
      <c r="G13" s="1" t="s">
        <v>114</v>
      </c>
    </row>
    <row r="14" spans="1:7" x14ac:dyDescent="0.6">
      <c r="A14" s="2">
        <f t="shared" si="0"/>
        <v>13</v>
      </c>
      <c r="B14" s="1" t="s">
        <v>142</v>
      </c>
      <c r="D14" s="1">
        <f>A13</f>
        <v>12</v>
      </c>
      <c r="E14" s="1" t="s">
        <v>8</v>
      </c>
      <c r="F14" s="3">
        <f>INDEX(people!$A$2:$A$125, MATCH(G14,people!$B$2:$B$125, 0))</f>
        <v>1680300331</v>
      </c>
      <c r="G14" s="1" t="s">
        <v>23</v>
      </c>
    </row>
    <row r="15" spans="1:7" x14ac:dyDescent="0.6">
      <c r="A15" s="2">
        <f t="shared" si="0"/>
        <v>14</v>
      </c>
      <c r="B15" s="1" t="s">
        <v>142</v>
      </c>
      <c r="D15" s="1">
        <f>A13</f>
        <v>12</v>
      </c>
      <c r="E15" s="1" t="s">
        <v>8</v>
      </c>
      <c r="F15" s="3">
        <f>INDEX(people!$A$2:$A$125, MATCH(G15,people!$B$2:$B$125, 0))</f>
        <v>2800300234</v>
      </c>
      <c r="G15" s="1" t="s">
        <v>117</v>
      </c>
    </row>
    <row r="16" spans="1:7" x14ac:dyDescent="0.6">
      <c r="A16" s="2">
        <f t="shared" si="0"/>
        <v>15</v>
      </c>
      <c r="B16" s="1" t="s">
        <v>142</v>
      </c>
      <c r="D16" s="1">
        <f>A13</f>
        <v>12</v>
      </c>
      <c r="E16" s="1" t="s">
        <v>8</v>
      </c>
      <c r="F16" s="3">
        <f>INDEX(people!$A$2:$A$125, MATCH(G16,people!$B$2:$B$125, 0))</f>
        <v>1680300355</v>
      </c>
      <c r="G16" s="1" t="s">
        <v>115</v>
      </c>
    </row>
    <row r="17" spans="1:7" x14ac:dyDescent="0.6">
      <c r="A17" s="2">
        <f t="shared" si="0"/>
        <v>16</v>
      </c>
      <c r="B17" s="1" t="s">
        <v>142</v>
      </c>
      <c r="D17" s="1">
        <f>A13</f>
        <v>12</v>
      </c>
      <c r="E17" s="1" t="s">
        <v>8</v>
      </c>
      <c r="F17" s="3">
        <f>INDEX(people!$A$2:$A$125, MATCH(G17,people!$B$2:$B$125, 0))</f>
        <v>2800300061</v>
      </c>
      <c r="G17" s="1" t="s">
        <v>98</v>
      </c>
    </row>
    <row r="18" spans="1:7" x14ac:dyDescent="0.6">
      <c r="A18" s="2">
        <f t="shared" si="0"/>
        <v>17</v>
      </c>
      <c r="B18" s="1" t="s">
        <v>142</v>
      </c>
      <c r="D18" s="1">
        <f>A13</f>
        <v>12</v>
      </c>
      <c r="E18" s="1" t="s">
        <v>8</v>
      </c>
      <c r="F18" s="3">
        <f>INDEX(people!$A$2:$A$125, MATCH(G18,people!$B$2:$B$125, 0))</f>
        <v>100001</v>
      </c>
      <c r="G18" s="1" t="s">
        <v>120</v>
      </c>
    </row>
    <row r="19" spans="1:7" x14ac:dyDescent="0.6">
      <c r="A19" s="2">
        <f t="shared" si="0"/>
        <v>18</v>
      </c>
      <c r="B19" s="1" t="s">
        <v>142</v>
      </c>
      <c r="D19" s="1">
        <f>A13</f>
        <v>12</v>
      </c>
      <c r="E19" s="1" t="s">
        <v>8</v>
      </c>
      <c r="F19" s="3">
        <f>INDEX(people!$A$2:$A$125, MATCH(G19,people!$B$2:$B$125, 0))</f>
        <v>100002</v>
      </c>
      <c r="G19" s="1" t="s">
        <v>141</v>
      </c>
    </row>
    <row r="20" spans="1:7" x14ac:dyDescent="0.6">
      <c r="A20" s="2">
        <f t="shared" si="0"/>
        <v>19</v>
      </c>
      <c r="B20" s="1" t="s">
        <v>407</v>
      </c>
      <c r="D20" s="1">
        <f>A3</f>
        <v>2</v>
      </c>
      <c r="E20" s="1" t="s">
        <v>8</v>
      </c>
      <c r="F20" s="3">
        <f>INDEX(people!$A$2:$A$125, MATCH(G20,people!$B$2:$B$125, 0))</f>
        <v>1800300530</v>
      </c>
      <c r="G20" s="1" t="s">
        <v>21</v>
      </c>
    </row>
    <row r="21" spans="1:7" x14ac:dyDescent="0.6">
      <c r="A21" s="2">
        <f t="shared" si="0"/>
        <v>20</v>
      </c>
      <c r="B21" s="1" t="s">
        <v>408</v>
      </c>
      <c r="D21" s="1">
        <f>A20</f>
        <v>19</v>
      </c>
      <c r="E21" s="1" t="s">
        <v>8</v>
      </c>
      <c r="F21" s="3">
        <f>INDEX(people!$A$2:$A$125, MATCH(G21,people!$B$2:$B$125, 0))</f>
        <v>1860300283</v>
      </c>
      <c r="G21" s="1" t="s">
        <v>83</v>
      </c>
    </row>
    <row r="22" spans="1:7" x14ac:dyDescent="0.6">
      <c r="A22" s="2">
        <f t="shared" si="0"/>
        <v>21</v>
      </c>
      <c r="B22" s="1" t="s">
        <v>142</v>
      </c>
      <c r="D22" s="1">
        <f>$A$21</f>
        <v>20</v>
      </c>
      <c r="E22" s="1" t="s">
        <v>8</v>
      </c>
      <c r="F22" s="3">
        <f>INDEX(people!$A$2:$A$125, MATCH(G22,people!$B$2:$B$125, 0))</f>
        <v>1920300193</v>
      </c>
      <c r="G22" s="1" t="s">
        <v>52</v>
      </c>
    </row>
    <row r="23" spans="1:7" x14ac:dyDescent="0.6">
      <c r="A23" s="2">
        <f t="shared" si="0"/>
        <v>22</v>
      </c>
      <c r="B23" s="1" t="s">
        <v>142</v>
      </c>
      <c r="D23" s="1">
        <f t="shared" ref="D23:D26" si="3">$A$21</f>
        <v>20</v>
      </c>
      <c r="E23" s="1" t="s">
        <v>8</v>
      </c>
      <c r="F23" s="3">
        <f>INDEX(people!$A$2:$A$125, MATCH(G23,people!$B$2:$B$125, 0))</f>
        <v>1690300349</v>
      </c>
      <c r="G23" s="1" t="s">
        <v>110</v>
      </c>
    </row>
    <row r="24" spans="1:7" x14ac:dyDescent="0.6">
      <c r="A24" s="2">
        <f t="shared" si="0"/>
        <v>23</v>
      </c>
      <c r="B24" s="1" t="s">
        <v>142</v>
      </c>
      <c r="D24" s="1">
        <f t="shared" si="3"/>
        <v>20</v>
      </c>
      <c r="E24" s="1" t="s">
        <v>8</v>
      </c>
      <c r="F24" s="3">
        <f>INDEX(people!$A$2:$A$125, MATCH(G24,people!$B$2:$B$125, 0))</f>
        <v>2680300154</v>
      </c>
      <c r="G24" s="1" t="s">
        <v>22</v>
      </c>
    </row>
    <row r="25" spans="1:7" x14ac:dyDescent="0.6">
      <c r="A25" s="2">
        <f t="shared" si="0"/>
        <v>24</v>
      </c>
      <c r="B25" s="1" t="s">
        <v>142</v>
      </c>
      <c r="D25" s="1">
        <f t="shared" si="3"/>
        <v>20</v>
      </c>
      <c r="E25" s="1" t="s">
        <v>8</v>
      </c>
      <c r="F25" s="3">
        <f>INDEX(people!$A$2:$A$125, MATCH(G25,people!$B$2:$B$125, 0))</f>
        <v>2980300364</v>
      </c>
      <c r="G25" s="1" t="s">
        <v>41</v>
      </c>
    </row>
    <row r="26" spans="1:7" x14ac:dyDescent="0.6">
      <c r="A26" s="2">
        <f t="shared" si="0"/>
        <v>25</v>
      </c>
      <c r="B26" s="1" t="s">
        <v>142</v>
      </c>
      <c r="D26" s="1">
        <f t="shared" si="3"/>
        <v>20</v>
      </c>
      <c r="E26" s="1" t="s">
        <v>8</v>
      </c>
      <c r="F26" s="3">
        <f>INDEX(people!$A$2:$A$125, MATCH(G26,people!$B$2:$B$125, 0))</f>
        <v>1830300210</v>
      </c>
      <c r="G26" s="1" t="s">
        <v>44</v>
      </c>
    </row>
    <row r="27" spans="1:7" x14ac:dyDescent="0.6">
      <c r="A27" s="2">
        <f t="shared" si="0"/>
        <v>26</v>
      </c>
      <c r="B27" s="1" t="s">
        <v>409</v>
      </c>
      <c r="D27" s="1">
        <f>A4</f>
        <v>3</v>
      </c>
      <c r="E27" s="1" t="s">
        <v>8</v>
      </c>
      <c r="F27" s="3">
        <f>INDEX(people!$A$2:$A$125, MATCH(G27,people!$B$2:$B$125, 0))</f>
        <v>1750300438</v>
      </c>
      <c r="G27" s="1" t="s">
        <v>24</v>
      </c>
    </row>
    <row r="28" spans="1:7" x14ac:dyDescent="0.6">
      <c r="A28" s="2">
        <f t="shared" si="0"/>
        <v>27</v>
      </c>
      <c r="B28" s="1" t="s">
        <v>410</v>
      </c>
      <c r="D28" s="1">
        <f>A27</f>
        <v>26</v>
      </c>
      <c r="E28" s="1" t="s">
        <v>8</v>
      </c>
      <c r="F28" s="3">
        <f>INDEX(people!$A$2:$A$125, MATCH(G28,people!$B$2:$B$125, 0))</f>
        <v>1890700240</v>
      </c>
      <c r="G28" s="1" t="s">
        <v>31</v>
      </c>
    </row>
    <row r="29" spans="1:7" x14ac:dyDescent="0.6">
      <c r="A29" s="2">
        <f t="shared" si="0"/>
        <v>28</v>
      </c>
      <c r="B29" s="1" t="s">
        <v>410</v>
      </c>
      <c r="D29" s="1">
        <f>A27</f>
        <v>26</v>
      </c>
      <c r="E29" s="1" t="s">
        <v>8</v>
      </c>
      <c r="F29" s="3">
        <f>INDEX(people!$A$2:$A$125, MATCH(G29,people!$B$2:$B$125, 0))</f>
        <v>1831200363</v>
      </c>
      <c r="G29" s="1" t="s">
        <v>82</v>
      </c>
    </row>
    <row r="30" spans="1:7" x14ac:dyDescent="0.6">
      <c r="A30" s="2">
        <f t="shared" si="0"/>
        <v>29</v>
      </c>
      <c r="B30" s="1" t="s">
        <v>142</v>
      </c>
      <c r="D30" s="1">
        <f>A28</f>
        <v>27</v>
      </c>
      <c r="E30" s="1" t="s">
        <v>8</v>
      </c>
      <c r="F30" s="3">
        <f>INDEX(people!$A$2:$A$125, MATCH(G30,people!$B$2:$B$125, 0))</f>
        <v>1690300603</v>
      </c>
      <c r="G30" s="1" t="s">
        <v>108</v>
      </c>
    </row>
    <row r="31" spans="1:7" x14ac:dyDescent="0.6">
      <c r="A31" s="2">
        <f t="shared" si="0"/>
        <v>30</v>
      </c>
      <c r="B31" s="1" t="s">
        <v>142</v>
      </c>
      <c r="D31" s="1">
        <f>$A$29</f>
        <v>28</v>
      </c>
      <c r="E31" s="1" t="s">
        <v>8</v>
      </c>
      <c r="F31" s="3">
        <f>INDEX(people!$A$2:$A$125, MATCH(G31,people!$B$2:$B$125, 0))</f>
        <v>2720300109</v>
      </c>
      <c r="G31" s="1" t="s">
        <v>27</v>
      </c>
    </row>
    <row r="32" spans="1:7" x14ac:dyDescent="0.6">
      <c r="A32" s="2">
        <f t="shared" si="0"/>
        <v>31</v>
      </c>
      <c r="B32" s="1" t="s">
        <v>142</v>
      </c>
      <c r="D32" s="1">
        <f t="shared" ref="D32:D34" si="4">$A$29</f>
        <v>28</v>
      </c>
      <c r="E32" s="1" t="s">
        <v>8</v>
      </c>
      <c r="F32" s="3">
        <f>INDEX(people!$A$2:$A$125, MATCH(G32,people!$B$2:$B$125, 0))</f>
        <v>2670300101</v>
      </c>
      <c r="G32" s="1" t="s">
        <v>29</v>
      </c>
    </row>
    <row r="33" spans="1:7" x14ac:dyDescent="0.6">
      <c r="A33" s="2">
        <f t="shared" si="0"/>
        <v>32</v>
      </c>
      <c r="B33" s="1" t="s">
        <v>142</v>
      </c>
      <c r="D33" s="1">
        <f t="shared" si="4"/>
        <v>28</v>
      </c>
      <c r="E33" s="1" t="s">
        <v>8</v>
      </c>
      <c r="F33" s="3">
        <f>INDEX(people!$A$2:$A$125, MATCH(G33,people!$B$2:$B$125, 0))</f>
        <v>1660300189</v>
      </c>
      <c r="G33" s="1" t="s">
        <v>28</v>
      </c>
    </row>
    <row r="34" spans="1:7" x14ac:dyDescent="0.6">
      <c r="A34" s="2">
        <f t="shared" si="0"/>
        <v>33</v>
      </c>
      <c r="B34" s="1" t="s">
        <v>142</v>
      </c>
      <c r="D34" s="1">
        <f t="shared" si="4"/>
        <v>28</v>
      </c>
      <c r="E34" s="1" t="s">
        <v>8</v>
      </c>
      <c r="F34" s="3">
        <f>INDEX(people!$A$2:$A$125, MATCH(G34,people!$B$2:$B$125, 0))</f>
        <v>1790300234</v>
      </c>
      <c r="G34" s="1" t="s">
        <v>25</v>
      </c>
    </row>
    <row r="35" spans="1:7" x14ac:dyDescent="0.6">
      <c r="A35" s="2">
        <f t="shared" si="0"/>
        <v>34</v>
      </c>
      <c r="B35" s="1" t="s">
        <v>411</v>
      </c>
      <c r="D35" s="1">
        <f>A4</f>
        <v>3</v>
      </c>
      <c r="E35" s="1" t="s">
        <v>8</v>
      </c>
      <c r="F35" s="3">
        <f>INDEX(people!$A$2:$A$125, MATCH(G35,people!$B$2:$B$125, 0))</f>
        <v>1830300209</v>
      </c>
      <c r="G35" s="1" t="s">
        <v>33</v>
      </c>
    </row>
    <row r="36" spans="1:7" x14ac:dyDescent="0.6">
      <c r="A36" s="2">
        <f t="shared" si="0"/>
        <v>35</v>
      </c>
      <c r="B36" s="1" t="s">
        <v>412</v>
      </c>
      <c r="D36" s="1">
        <f>A35</f>
        <v>34</v>
      </c>
      <c r="E36" s="1" t="s">
        <v>8</v>
      </c>
      <c r="F36" s="3">
        <f>INDEX(people!$A$2:$A$125, MATCH(G36,people!$B$2:$B$125, 0))</f>
        <v>1690300388</v>
      </c>
      <c r="G36" s="1" t="s">
        <v>96</v>
      </c>
    </row>
    <row r="37" spans="1:7" x14ac:dyDescent="0.6">
      <c r="A37" s="2">
        <f t="shared" si="0"/>
        <v>36</v>
      </c>
      <c r="B37" s="1" t="s">
        <v>413</v>
      </c>
      <c r="D37" s="1">
        <f>A27</f>
        <v>26</v>
      </c>
      <c r="E37" s="1" t="s">
        <v>8</v>
      </c>
      <c r="F37" s="3">
        <f>INDEX(people!$A$2:$A$125, MATCH(G37,people!$B$2:$B$125, 0))</f>
        <v>1820300233</v>
      </c>
      <c r="G37" s="1" t="s">
        <v>30</v>
      </c>
    </row>
    <row r="38" spans="1:7" x14ac:dyDescent="0.6">
      <c r="A38" s="2">
        <f t="shared" si="0"/>
        <v>37</v>
      </c>
      <c r="B38" s="1" t="s">
        <v>414</v>
      </c>
      <c r="D38" s="1">
        <f>A27</f>
        <v>26</v>
      </c>
      <c r="E38" s="1" t="s">
        <v>8</v>
      </c>
      <c r="F38" s="3">
        <f>INDEX(people!$A$2:$A$125, MATCH(G38,people!$B$2:$B$125, 0))</f>
        <v>1670300249</v>
      </c>
      <c r="G38" s="1" t="s">
        <v>55</v>
      </c>
    </row>
    <row r="39" spans="1:7" x14ac:dyDescent="0.6">
      <c r="A39" s="2">
        <f t="shared" si="0"/>
        <v>38</v>
      </c>
      <c r="B39" s="1" t="s">
        <v>416</v>
      </c>
      <c r="D39" s="1">
        <f>$A$38</f>
        <v>37</v>
      </c>
      <c r="E39" s="1" t="s">
        <v>8</v>
      </c>
      <c r="F39" s="3">
        <f>INDEX(people!$A$2:$A$125, MATCH(G39,people!$B$2:$B$125, 0))</f>
        <v>1820300058</v>
      </c>
      <c r="G39" s="1" t="s">
        <v>60</v>
      </c>
    </row>
    <row r="40" spans="1:7" x14ac:dyDescent="0.6">
      <c r="A40" s="2">
        <f t="shared" si="0"/>
        <v>39</v>
      </c>
      <c r="B40" s="1" t="s">
        <v>433</v>
      </c>
      <c r="D40" s="1">
        <f t="shared" ref="D40:D43" si="5">$A$38</f>
        <v>37</v>
      </c>
      <c r="E40" s="1" t="s">
        <v>8</v>
      </c>
      <c r="F40" s="3">
        <f>INDEX(people!$A$2:$A$125, MATCH(G40,people!$B$2:$B$125, 0))</f>
        <v>2890300162</v>
      </c>
      <c r="G40" s="1" t="s">
        <v>47</v>
      </c>
    </row>
    <row r="41" spans="1:7" x14ac:dyDescent="0.6">
      <c r="A41" s="2">
        <f t="shared" si="0"/>
        <v>40</v>
      </c>
      <c r="B41" s="1" t="s">
        <v>417</v>
      </c>
      <c r="D41" s="1">
        <f t="shared" si="5"/>
        <v>37</v>
      </c>
      <c r="E41" s="1" t="s">
        <v>8</v>
      </c>
      <c r="F41" s="3">
        <f>INDEX(people!$A$2:$A$125, MATCH(G41,people!$B$2:$B$125, 0))</f>
        <v>1850300085</v>
      </c>
      <c r="G41" s="1" t="s">
        <v>89</v>
      </c>
    </row>
    <row r="42" spans="1:7" x14ac:dyDescent="0.6">
      <c r="A42" s="2">
        <f t="shared" si="0"/>
        <v>41</v>
      </c>
      <c r="B42" s="1" t="s">
        <v>418</v>
      </c>
      <c r="D42" s="1">
        <f t="shared" si="5"/>
        <v>37</v>
      </c>
      <c r="E42" s="1" t="s">
        <v>8</v>
      </c>
      <c r="F42" s="3">
        <f>INDEX(people!$A$2:$A$125, MATCH(G42,people!$B$2:$B$125, 0))</f>
        <v>1872100269</v>
      </c>
      <c r="G42" s="1" t="s">
        <v>65</v>
      </c>
    </row>
    <row r="43" spans="1:7" x14ac:dyDescent="0.6">
      <c r="A43" s="2">
        <f t="shared" si="0"/>
        <v>42</v>
      </c>
      <c r="B43" s="1" t="s">
        <v>419</v>
      </c>
      <c r="D43" s="1">
        <f t="shared" si="5"/>
        <v>37</v>
      </c>
      <c r="E43" s="1" t="s">
        <v>8</v>
      </c>
      <c r="F43" s="3">
        <f>INDEX(people!$A$2:$A$125, MATCH(G43,people!$B$2:$B$125, 0))</f>
        <v>1930700107</v>
      </c>
      <c r="G43" s="1" t="s">
        <v>76</v>
      </c>
    </row>
    <row r="44" spans="1:7" x14ac:dyDescent="0.6">
      <c r="A44" s="2">
        <f t="shared" si="0"/>
        <v>43</v>
      </c>
      <c r="B44" s="1" t="s">
        <v>415</v>
      </c>
      <c r="D44" s="1">
        <f>A27</f>
        <v>26</v>
      </c>
      <c r="E44" s="1" t="s">
        <v>8</v>
      </c>
      <c r="F44" s="3">
        <f>INDEX(people!$A$2:$A$125, MATCH(G44,people!$B$2:$B$125, 0))</f>
        <v>1920300331</v>
      </c>
      <c r="G44" s="1" t="s">
        <v>69</v>
      </c>
    </row>
    <row r="45" spans="1:7" x14ac:dyDescent="0.6">
      <c r="A45" s="2">
        <f t="shared" si="0"/>
        <v>44</v>
      </c>
      <c r="B45" s="1" t="s">
        <v>420</v>
      </c>
      <c r="D45" s="1">
        <f>$A$44</f>
        <v>43</v>
      </c>
      <c r="E45" s="1" t="s">
        <v>8</v>
      </c>
      <c r="F45" s="3">
        <f>INDEX(people!$A$2:$A$125, MATCH(G45,people!$B$2:$B$125, 0))</f>
        <v>1904800001</v>
      </c>
      <c r="G45" s="1" t="s">
        <v>70</v>
      </c>
    </row>
    <row r="46" spans="1:7" x14ac:dyDescent="0.6">
      <c r="A46" s="2">
        <f t="shared" si="0"/>
        <v>45</v>
      </c>
      <c r="B46" s="1" t="s">
        <v>421</v>
      </c>
      <c r="D46" s="1">
        <f t="shared" ref="D46:D47" si="6">$A$44</f>
        <v>43</v>
      </c>
      <c r="E46" s="1" t="s">
        <v>8</v>
      </c>
      <c r="F46" s="3">
        <f>INDEX(people!$A$2:$A$125, MATCH(G46,people!$B$2:$B$125, 0))</f>
        <v>2930300307</v>
      </c>
      <c r="G46" s="1" t="s">
        <v>54</v>
      </c>
    </row>
    <row r="47" spans="1:7" x14ac:dyDescent="0.6">
      <c r="A47" s="2">
        <f t="shared" si="0"/>
        <v>46</v>
      </c>
      <c r="B47" s="1" t="s">
        <v>419</v>
      </c>
      <c r="D47" s="1">
        <f t="shared" si="6"/>
        <v>43</v>
      </c>
      <c r="E47" s="1" t="s">
        <v>8</v>
      </c>
      <c r="F47" s="3">
        <f>INDEX(people!$A$2:$A$125, MATCH(G47,people!$B$2:$B$125, 0))</f>
        <v>2820300049</v>
      </c>
      <c r="G47" s="1" t="s">
        <v>26</v>
      </c>
    </row>
    <row r="48" spans="1:7" x14ac:dyDescent="0.6">
      <c r="A48" s="2">
        <f t="shared" si="0"/>
        <v>47</v>
      </c>
      <c r="B48" s="1" t="s">
        <v>422</v>
      </c>
      <c r="D48" s="1">
        <f>A37</f>
        <v>36</v>
      </c>
      <c r="E48" s="1" t="s">
        <v>8</v>
      </c>
      <c r="F48" s="3">
        <f>INDEX(people!$A$2:$A$125, MATCH(G48,people!$B$2:$B$125, 0))</f>
        <v>1901200129</v>
      </c>
      <c r="G48" s="1" t="s">
        <v>85</v>
      </c>
    </row>
    <row r="49" spans="1:7" x14ac:dyDescent="0.6">
      <c r="A49" s="2">
        <f t="shared" si="0"/>
        <v>48</v>
      </c>
      <c r="B49" s="1" t="s">
        <v>423</v>
      </c>
      <c r="D49" s="1">
        <f>A37</f>
        <v>36</v>
      </c>
      <c r="E49" s="1" t="s">
        <v>8</v>
      </c>
      <c r="F49" s="3">
        <f>INDEX(people!$A$2:$A$125, MATCH(G49,people!$B$2:$B$125, 0))</f>
        <v>1840300188</v>
      </c>
      <c r="G49" s="1" t="s">
        <v>38</v>
      </c>
    </row>
    <row r="50" spans="1:7" x14ac:dyDescent="0.6">
      <c r="A50" s="2">
        <f t="shared" si="0"/>
        <v>49</v>
      </c>
      <c r="B50" s="1" t="s">
        <v>424</v>
      </c>
      <c r="D50" s="1">
        <f>$A$48</f>
        <v>47</v>
      </c>
      <c r="E50" s="1" t="s">
        <v>144</v>
      </c>
      <c r="F50" s="3">
        <f>INDEX(people!$A$2:$A$125, MATCH(G50,people!$B$2:$B$125, 0))</f>
        <v>1990300147</v>
      </c>
      <c r="G50" s="1" t="s">
        <v>119</v>
      </c>
    </row>
    <row r="51" spans="1:7" x14ac:dyDescent="0.6">
      <c r="A51" s="2">
        <f t="shared" si="0"/>
        <v>50</v>
      </c>
      <c r="B51" s="1" t="s">
        <v>424</v>
      </c>
      <c r="D51" s="1">
        <f t="shared" ref="D51:D54" si="7">$A$48</f>
        <v>47</v>
      </c>
      <c r="E51" s="1" t="s">
        <v>144</v>
      </c>
      <c r="F51" s="3">
        <f>INDEX(people!$A$2:$A$125, MATCH(G51,people!$B$2:$B$125, 0))</f>
        <v>2870300243</v>
      </c>
      <c r="G51" s="1" t="s">
        <v>32</v>
      </c>
    </row>
    <row r="52" spans="1:7" x14ac:dyDescent="0.6">
      <c r="A52" s="2">
        <f t="shared" si="0"/>
        <v>51</v>
      </c>
      <c r="B52" s="1" t="s">
        <v>145</v>
      </c>
      <c r="D52" s="1">
        <f t="shared" si="7"/>
        <v>47</v>
      </c>
      <c r="E52" s="1" t="s">
        <v>8</v>
      </c>
      <c r="F52" s="3">
        <f>INDEX(people!$A$2:$A$125, MATCH(G52,people!$B$2:$B$125, 0))</f>
        <v>1690300322</v>
      </c>
      <c r="G52" s="1" t="s">
        <v>100</v>
      </c>
    </row>
    <row r="53" spans="1:7" x14ac:dyDescent="0.6">
      <c r="A53" s="2">
        <f t="shared" si="0"/>
        <v>52</v>
      </c>
      <c r="B53" s="1" t="s">
        <v>145</v>
      </c>
      <c r="D53" s="1">
        <f t="shared" si="7"/>
        <v>47</v>
      </c>
      <c r="E53" s="1" t="s">
        <v>8</v>
      </c>
      <c r="F53" s="3">
        <f>INDEX(people!$A$2:$A$125, MATCH(G53,people!$B$2:$B$125, 0))</f>
        <v>1690300442</v>
      </c>
      <c r="G53" s="1" t="s">
        <v>97</v>
      </c>
    </row>
    <row r="54" spans="1:7" x14ac:dyDescent="0.6">
      <c r="A54" s="2">
        <f t="shared" si="0"/>
        <v>53</v>
      </c>
      <c r="B54" s="1" t="s">
        <v>145</v>
      </c>
      <c r="D54" s="1">
        <f t="shared" si="7"/>
        <v>47</v>
      </c>
      <c r="E54" s="1" t="s">
        <v>8</v>
      </c>
      <c r="F54" s="3">
        <f>INDEX(people!$A$2:$A$125, MATCH(G54,people!$B$2:$B$125, 0))</f>
        <v>2820300034</v>
      </c>
      <c r="G54" s="1" t="s">
        <v>116</v>
      </c>
    </row>
    <row r="55" spans="1:7" x14ac:dyDescent="0.6">
      <c r="A55" s="2">
        <f t="shared" si="0"/>
        <v>54</v>
      </c>
      <c r="B55" s="1" t="s">
        <v>425</v>
      </c>
      <c r="D55" s="1">
        <f t="shared" ref="D55:D62" si="8">$A$49</f>
        <v>48</v>
      </c>
      <c r="E55" s="1" t="s">
        <v>144</v>
      </c>
      <c r="F55" s="3">
        <f>INDEX(people!$A$2:$A$125, MATCH(G55,people!$B$2:$B$125, 0))</f>
        <v>2900300246</v>
      </c>
      <c r="G55" s="1" t="s">
        <v>36</v>
      </c>
    </row>
    <row r="56" spans="1:7" x14ac:dyDescent="0.6">
      <c r="A56" s="2">
        <f t="shared" si="0"/>
        <v>55</v>
      </c>
      <c r="B56" s="1" t="s">
        <v>425</v>
      </c>
      <c r="D56" s="1">
        <f t="shared" si="8"/>
        <v>48</v>
      </c>
      <c r="E56" s="1" t="s">
        <v>144</v>
      </c>
      <c r="F56" s="3">
        <f>INDEX(people!$A$2:$A$125, MATCH(G56,people!$B$2:$B$125, 0))</f>
        <v>2871400116</v>
      </c>
      <c r="G56" s="1" t="s">
        <v>90</v>
      </c>
    </row>
    <row r="57" spans="1:7" x14ac:dyDescent="0.6">
      <c r="A57" s="2">
        <f t="shared" si="0"/>
        <v>56</v>
      </c>
      <c r="B57" s="1" t="s">
        <v>146</v>
      </c>
      <c r="D57" s="1">
        <f t="shared" si="8"/>
        <v>48</v>
      </c>
      <c r="E57" s="1" t="s">
        <v>8</v>
      </c>
      <c r="F57" s="3">
        <f>INDEX(people!$A$2:$A$125, MATCH(G57,people!$B$2:$B$125, 0))</f>
        <v>2870300253</v>
      </c>
      <c r="G57" s="1" t="s">
        <v>35</v>
      </c>
    </row>
    <row r="58" spans="1:7" x14ac:dyDescent="0.6">
      <c r="A58" s="2">
        <f t="shared" si="0"/>
        <v>57</v>
      </c>
      <c r="B58" s="1" t="s">
        <v>146</v>
      </c>
      <c r="D58" s="1">
        <f t="shared" si="8"/>
        <v>48</v>
      </c>
      <c r="E58" s="1" t="s">
        <v>8</v>
      </c>
      <c r="F58" s="3">
        <f>INDEX(people!$A$2:$A$125, MATCH(G58,people!$B$2:$B$125, 0))</f>
        <v>2990300274</v>
      </c>
      <c r="G58" s="1" t="s">
        <v>37</v>
      </c>
    </row>
    <row r="59" spans="1:7" x14ac:dyDescent="0.6">
      <c r="A59" s="2">
        <f t="shared" si="0"/>
        <v>58</v>
      </c>
      <c r="B59" s="1" t="s">
        <v>146</v>
      </c>
      <c r="D59" s="1">
        <f t="shared" si="8"/>
        <v>48</v>
      </c>
      <c r="E59" s="1" t="s">
        <v>8</v>
      </c>
      <c r="F59" s="3">
        <f>INDEX(people!$A$2:$A$125, MATCH(G59,people!$B$2:$B$125, 0))</f>
        <v>2870300157</v>
      </c>
      <c r="G59" s="1" t="s">
        <v>106</v>
      </c>
    </row>
    <row r="60" spans="1:7" x14ac:dyDescent="0.6">
      <c r="A60" s="2">
        <f t="shared" si="0"/>
        <v>59</v>
      </c>
      <c r="B60" s="1" t="s">
        <v>146</v>
      </c>
      <c r="D60" s="1">
        <f t="shared" si="8"/>
        <v>48</v>
      </c>
      <c r="E60" s="1" t="s">
        <v>8</v>
      </c>
      <c r="F60" s="3">
        <f>INDEX(people!$A$2:$A$125, MATCH(G60,people!$B$2:$B$125, 0))</f>
        <v>2680300173</v>
      </c>
      <c r="G60" s="1" t="s">
        <v>81</v>
      </c>
    </row>
    <row r="61" spans="1:7" x14ac:dyDescent="0.6">
      <c r="A61" s="2">
        <f t="shared" si="0"/>
        <v>60</v>
      </c>
      <c r="B61" s="1" t="s">
        <v>146</v>
      </c>
      <c r="D61" s="1">
        <f t="shared" si="8"/>
        <v>48</v>
      </c>
      <c r="E61" s="1" t="s">
        <v>8</v>
      </c>
      <c r="F61" s="3">
        <f>INDEX(people!$A$2:$A$125, MATCH(G61,people!$B$2:$B$125, 0))</f>
        <v>2810300213</v>
      </c>
      <c r="G61" s="1" t="s">
        <v>39</v>
      </c>
    </row>
    <row r="62" spans="1:7" x14ac:dyDescent="0.6">
      <c r="A62" s="2">
        <f t="shared" si="0"/>
        <v>61</v>
      </c>
      <c r="B62" s="1" t="s">
        <v>146</v>
      </c>
      <c r="D62" s="1">
        <f t="shared" si="8"/>
        <v>48</v>
      </c>
      <c r="E62" s="1" t="s">
        <v>8</v>
      </c>
      <c r="F62" s="3">
        <f>INDEX(people!$A$2:$A$125, MATCH(G62,people!$B$2:$B$125, 0))</f>
        <v>2930300439</v>
      </c>
      <c r="G62" s="1" t="s">
        <v>34</v>
      </c>
    </row>
    <row r="63" spans="1:7" x14ac:dyDescent="0.6">
      <c r="A63" s="2">
        <f t="shared" si="0"/>
        <v>62</v>
      </c>
      <c r="B63" s="1" t="s">
        <v>426</v>
      </c>
      <c r="D63" s="1">
        <f>$A$39</f>
        <v>38</v>
      </c>
      <c r="E63" s="1" t="s">
        <v>144</v>
      </c>
      <c r="F63" s="3">
        <f>INDEX(people!$A$2:$A$125, MATCH(G63,people!$B$2:$B$125, 0))</f>
        <v>2800300262</v>
      </c>
      <c r="G63" s="1" t="s">
        <v>57</v>
      </c>
    </row>
    <row r="64" spans="1:7" x14ac:dyDescent="0.6">
      <c r="A64" s="2">
        <f t="shared" si="0"/>
        <v>63</v>
      </c>
      <c r="B64" s="1" t="s">
        <v>426</v>
      </c>
      <c r="D64" s="1">
        <f t="shared" ref="D64:D73" si="9">$A$39</f>
        <v>38</v>
      </c>
      <c r="E64" s="1" t="s">
        <v>144</v>
      </c>
      <c r="F64" s="3">
        <f>INDEX(people!$A$2:$A$125, MATCH(G64,people!$B$2:$B$125, 0))</f>
        <v>2830300017</v>
      </c>
      <c r="G64" s="1" t="s">
        <v>84</v>
      </c>
    </row>
    <row r="65" spans="1:7" x14ac:dyDescent="0.6">
      <c r="A65" s="2">
        <f t="shared" si="0"/>
        <v>64</v>
      </c>
      <c r="B65" s="1" t="s">
        <v>147</v>
      </c>
      <c r="D65" s="1">
        <f t="shared" si="9"/>
        <v>38</v>
      </c>
      <c r="E65" s="1" t="s">
        <v>8</v>
      </c>
      <c r="F65" s="3">
        <f>INDEX(people!$A$2:$A$125, MATCH(G65,people!$B$2:$B$125, 0))</f>
        <v>2750300112</v>
      </c>
      <c r="G65" s="1" t="s">
        <v>56</v>
      </c>
    </row>
    <row r="66" spans="1:7" x14ac:dyDescent="0.6">
      <c r="A66" s="2">
        <f t="shared" si="0"/>
        <v>65</v>
      </c>
      <c r="B66" s="1" t="s">
        <v>147</v>
      </c>
      <c r="D66" s="1">
        <f t="shared" si="9"/>
        <v>38</v>
      </c>
      <c r="E66" s="1" t="s">
        <v>8</v>
      </c>
      <c r="F66" s="3">
        <f>INDEX(people!$A$2:$A$125, MATCH(G66,people!$B$2:$B$125, 0))</f>
        <v>1840300118</v>
      </c>
      <c r="G66" s="1" t="s">
        <v>58</v>
      </c>
    </row>
    <row r="67" spans="1:7" x14ac:dyDescent="0.6">
      <c r="A67" s="2">
        <f t="shared" si="0"/>
        <v>66</v>
      </c>
      <c r="B67" s="1" t="s">
        <v>147</v>
      </c>
      <c r="D67" s="1">
        <f t="shared" si="9"/>
        <v>38</v>
      </c>
      <c r="E67" s="1" t="s">
        <v>8</v>
      </c>
      <c r="F67" s="3">
        <f>INDEX(people!$A$2:$A$125, MATCH(G67,people!$B$2:$B$125, 0))</f>
        <v>1840600176</v>
      </c>
      <c r="G67" s="1" t="s">
        <v>59</v>
      </c>
    </row>
    <row r="68" spans="1:7" x14ac:dyDescent="0.6">
      <c r="A68" s="2">
        <f t="shared" si="0"/>
        <v>67</v>
      </c>
      <c r="B68" s="1" t="s">
        <v>147</v>
      </c>
      <c r="D68" s="1">
        <f t="shared" si="9"/>
        <v>38</v>
      </c>
      <c r="E68" s="1" t="s">
        <v>8</v>
      </c>
      <c r="F68" s="3">
        <f>INDEX(people!$A$2:$A$125, MATCH(G68,people!$B$2:$B$125, 0))</f>
        <v>1710300321</v>
      </c>
      <c r="G68" s="1" t="s">
        <v>61</v>
      </c>
    </row>
    <row r="69" spans="1:7" x14ac:dyDescent="0.6">
      <c r="A69" s="2">
        <f t="shared" si="0"/>
        <v>68</v>
      </c>
      <c r="B69" s="1" t="s">
        <v>147</v>
      </c>
      <c r="D69" s="1">
        <f t="shared" si="9"/>
        <v>38</v>
      </c>
      <c r="E69" s="1" t="s">
        <v>8</v>
      </c>
      <c r="F69" s="3">
        <f>INDEX(people!$A$2:$A$125, MATCH(G69,people!$B$2:$B$125, 0))</f>
        <v>1820300041</v>
      </c>
      <c r="G69" s="1" t="s">
        <v>62</v>
      </c>
    </row>
    <row r="70" spans="1:7" x14ac:dyDescent="0.6">
      <c r="A70" s="2">
        <f t="shared" si="0"/>
        <v>69</v>
      </c>
      <c r="B70" s="1" t="s">
        <v>147</v>
      </c>
      <c r="D70" s="1">
        <f t="shared" si="9"/>
        <v>38</v>
      </c>
      <c r="E70" s="1" t="s">
        <v>8</v>
      </c>
      <c r="F70" s="3">
        <f>INDEX(people!$A$2:$A$125, MATCH(G70,people!$B$2:$B$125, 0))</f>
        <v>2820300165</v>
      </c>
      <c r="G70" s="1" t="s">
        <v>63</v>
      </c>
    </row>
    <row r="71" spans="1:7" x14ac:dyDescent="0.6">
      <c r="A71" s="2">
        <f t="shared" ref="A71:A105" si="10">A70+1</f>
        <v>70</v>
      </c>
      <c r="B71" s="1" t="s">
        <v>147</v>
      </c>
      <c r="D71" s="1">
        <f t="shared" si="9"/>
        <v>38</v>
      </c>
      <c r="E71" s="1" t="s">
        <v>8</v>
      </c>
      <c r="F71" s="3">
        <f>INDEX(people!$A$2:$A$125, MATCH(G71,people!$B$2:$B$125, 0))</f>
        <v>1680300327</v>
      </c>
      <c r="G71" s="1" t="s">
        <v>74</v>
      </c>
    </row>
    <row r="72" spans="1:7" x14ac:dyDescent="0.6">
      <c r="A72" s="2">
        <f t="shared" si="10"/>
        <v>71</v>
      </c>
      <c r="B72" s="1" t="s">
        <v>147</v>
      </c>
      <c r="D72" s="1">
        <f t="shared" si="9"/>
        <v>38</v>
      </c>
      <c r="E72" s="1" t="s">
        <v>8</v>
      </c>
      <c r="F72" s="3">
        <f>INDEX(people!$A$2:$A$125, MATCH(G72,people!$B$2:$B$125, 0))</f>
        <v>2780300027</v>
      </c>
      <c r="G72" s="1" t="s">
        <v>102</v>
      </c>
    </row>
    <row r="73" spans="1:7" x14ac:dyDescent="0.6">
      <c r="A73" s="2">
        <f t="shared" si="10"/>
        <v>72</v>
      </c>
      <c r="B73" s="1" t="s">
        <v>147</v>
      </c>
      <c r="D73" s="1">
        <f t="shared" si="9"/>
        <v>38</v>
      </c>
      <c r="E73" s="1" t="s">
        <v>8</v>
      </c>
      <c r="F73" s="3">
        <f>INDEX(people!$A$2:$A$125, MATCH(G73,people!$B$2:$B$125, 0))</f>
        <v>2810300025</v>
      </c>
      <c r="G73" s="1" t="s">
        <v>103</v>
      </c>
    </row>
    <row r="74" spans="1:7" x14ac:dyDescent="0.6">
      <c r="A74" s="2">
        <f t="shared" si="10"/>
        <v>73</v>
      </c>
      <c r="B74" s="1" t="s">
        <v>427</v>
      </c>
      <c r="D74" s="1">
        <f>$A$40</f>
        <v>39</v>
      </c>
      <c r="E74" s="1" t="s">
        <v>144</v>
      </c>
      <c r="F74" s="3">
        <f>INDEX(people!$A$2:$A$125, MATCH(G74,people!$B$2:$B$125, 0))</f>
        <v>1730300800</v>
      </c>
      <c r="G74" s="1" t="s">
        <v>46</v>
      </c>
    </row>
    <row r="75" spans="1:7" x14ac:dyDescent="0.6">
      <c r="A75" s="2">
        <f t="shared" si="10"/>
        <v>74</v>
      </c>
      <c r="B75" s="1" t="s">
        <v>427</v>
      </c>
      <c r="D75" s="1">
        <f t="shared" ref="D75:D80" si="11">$A$40</f>
        <v>39</v>
      </c>
      <c r="E75" s="1" t="s">
        <v>144</v>
      </c>
      <c r="F75" s="3">
        <f>INDEX(people!$A$2:$A$125, MATCH(G75,people!$B$2:$B$125, 0))</f>
        <v>2900300321</v>
      </c>
      <c r="G75" s="1" t="s">
        <v>91</v>
      </c>
    </row>
    <row r="76" spans="1:7" x14ac:dyDescent="0.6">
      <c r="A76" s="2">
        <f t="shared" si="10"/>
        <v>75</v>
      </c>
      <c r="B76" s="1" t="s">
        <v>148</v>
      </c>
      <c r="D76" s="1">
        <f t="shared" si="11"/>
        <v>39</v>
      </c>
      <c r="E76" s="1" t="s">
        <v>8</v>
      </c>
      <c r="F76" s="3">
        <f>INDEX(people!$A$2:$A$125, MATCH(G76,people!$B$2:$B$125, 0))</f>
        <v>2820800126</v>
      </c>
      <c r="G76" s="1" t="s">
        <v>48</v>
      </c>
    </row>
    <row r="77" spans="1:7" x14ac:dyDescent="0.6">
      <c r="A77" s="2">
        <f t="shared" si="10"/>
        <v>76</v>
      </c>
      <c r="B77" s="1" t="s">
        <v>148</v>
      </c>
      <c r="D77" s="1">
        <f t="shared" si="11"/>
        <v>39</v>
      </c>
      <c r="E77" s="1" t="s">
        <v>8</v>
      </c>
      <c r="F77" s="3">
        <f>INDEX(people!$A$2:$A$125, MATCH(G77,people!$B$2:$B$125, 0))</f>
        <v>2670800184</v>
      </c>
      <c r="G77" s="1" t="s">
        <v>86</v>
      </c>
    </row>
    <row r="78" spans="1:7" x14ac:dyDescent="0.6">
      <c r="A78" s="2">
        <f t="shared" si="10"/>
        <v>77</v>
      </c>
      <c r="B78" s="1" t="s">
        <v>148</v>
      </c>
      <c r="D78" s="1">
        <f t="shared" si="11"/>
        <v>39</v>
      </c>
      <c r="E78" s="1" t="s">
        <v>8</v>
      </c>
      <c r="F78" s="3">
        <f>INDEX(people!$A$2:$A$125, MATCH(G78,people!$B$2:$B$125, 0))</f>
        <v>2700300301</v>
      </c>
      <c r="G78" s="1" t="s">
        <v>99</v>
      </c>
    </row>
    <row r="79" spans="1:7" x14ac:dyDescent="0.6">
      <c r="A79" s="2">
        <f t="shared" si="10"/>
        <v>78</v>
      </c>
      <c r="B79" s="1" t="s">
        <v>148</v>
      </c>
      <c r="D79" s="1">
        <f t="shared" si="11"/>
        <v>39</v>
      </c>
      <c r="E79" s="1" t="s">
        <v>8</v>
      </c>
      <c r="F79" s="3">
        <f>INDEX(people!$A$2:$A$125, MATCH(G79,people!$B$2:$B$125, 0))</f>
        <v>2830300078</v>
      </c>
      <c r="G79" s="1" t="s">
        <v>104</v>
      </c>
    </row>
    <row r="80" spans="1:7" x14ac:dyDescent="0.6">
      <c r="A80" s="2">
        <f t="shared" si="10"/>
        <v>79</v>
      </c>
      <c r="B80" s="1" t="s">
        <v>148</v>
      </c>
      <c r="D80" s="1">
        <f t="shared" si="11"/>
        <v>39</v>
      </c>
      <c r="E80" s="1" t="s">
        <v>8</v>
      </c>
      <c r="F80" s="3">
        <f>INDEX(people!$A$2:$A$125, MATCH(G80,people!$B$2:$B$125, 0))</f>
        <v>2910300165</v>
      </c>
      <c r="G80" s="1" t="s">
        <v>107</v>
      </c>
    </row>
    <row r="81" spans="1:7" x14ac:dyDescent="0.6">
      <c r="A81" s="2">
        <f t="shared" si="10"/>
        <v>80</v>
      </c>
      <c r="B81" s="1" t="s">
        <v>428</v>
      </c>
      <c r="D81" s="1">
        <f>$A$41</f>
        <v>40</v>
      </c>
      <c r="E81" s="1" t="s">
        <v>144</v>
      </c>
      <c r="F81" s="3">
        <f>INDEX(people!$A$2:$A$125, MATCH(G81,people!$B$2:$B$125, 0))</f>
        <v>2920300428</v>
      </c>
      <c r="G81" s="1" t="s">
        <v>50</v>
      </c>
    </row>
    <row r="82" spans="1:7" x14ac:dyDescent="0.6">
      <c r="A82" s="2">
        <f t="shared" si="10"/>
        <v>81</v>
      </c>
      <c r="B82" s="1" t="s">
        <v>428</v>
      </c>
      <c r="D82" s="1">
        <f t="shared" ref="D82:D91" si="12">$A$41</f>
        <v>40</v>
      </c>
      <c r="E82" s="1" t="s">
        <v>144</v>
      </c>
      <c r="F82" s="3">
        <f>INDEX(people!$A$2:$A$125, MATCH(G82,people!$B$2:$B$125, 0))</f>
        <v>1870300227</v>
      </c>
      <c r="G82" s="1" t="s">
        <v>45</v>
      </c>
    </row>
    <row r="83" spans="1:7" x14ac:dyDescent="0.6">
      <c r="A83" s="2">
        <f t="shared" si="10"/>
        <v>82</v>
      </c>
      <c r="B83" s="1" t="s">
        <v>149</v>
      </c>
      <c r="D83" s="1">
        <f t="shared" si="12"/>
        <v>40</v>
      </c>
      <c r="E83" s="1" t="s">
        <v>8</v>
      </c>
      <c r="F83" s="3">
        <f>INDEX(people!$A$2:$A$125, MATCH(G83,people!$B$2:$B$125, 0))</f>
        <v>1670800495</v>
      </c>
      <c r="G83" s="1" t="s">
        <v>42</v>
      </c>
    </row>
    <row r="84" spans="1:7" x14ac:dyDescent="0.6">
      <c r="A84" s="2">
        <f t="shared" si="10"/>
        <v>83</v>
      </c>
      <c r="B84" s="1" t="s">
        <v>149</v>
      </c>
      <c r="D84" s="1">
        <f t="shared" si="12"/>
        <v>40</v>
      </c>
      <c r="E84" s="1" t="s">
        <v>8</v>
      </c>
      <c r="F84" s="3">
        <f>INDEX(people!$A$2:$A$125, MATCH(G84,people!$B$2:$B$125, 0))</f>
        <v>2870300008</v>
      </c>
      <c r="G84" s="1" t="s">
        <v>92</v>
      </c>
    </row>
    <row r="85" spans="1:7" x14ac:dyDescent="0.6">
      <c r="A85" s="2">
        <f t="shared" si="10"/>
        <v>84</v>
      </c>
      <c r="B85" s="1" t="s">
        <v>149</v>
      </c>
      <c r="D85" s="1">
        <f t="shared" si="12"/>
        <v>40</v>
      </c>
      <c r="E85" s="1" t="s">
        <v>8</v>
      </c>
      <c r="F85" s="3">
        <f>INDEX(people!$A$2:$A$125, MATCH(G85,people!$B$2:$B$125, 0))</f>
        <v>2870600141</v>
      </c>
      <c r="G85" s="1" t="s">
        <v>51</v>
      </c>
    </row>
    <row r="86" spans="1:7" x14ac:dyDescent="0.6">
      <c r="A86" s="2">
        <f t="shared" si="10"/>
        <v>85</v>
      </c>
      <c r="B86" s="1" t="s">
        <v>149</v>
      </c>
      <c r="D86" s="1">
        <f t="shared" si="12"/>
        <v>40</v>
      </c>
      <c r="E86" s="1" t="s">
        <v>8</v>
      </c>
      <c r="F86" s="3">
        <f>INDEX(people!$A$2:$A$125, MATCH(G86,people!$B$2:$B$125, 0))</f>
        <v>2840300235</v>
      </c>
      <c r="G86" s="1" t="s">
        <v>73</v>
      </c>
    </row>
    <row r="87" spans="1:7" x14ac:dyDescent="0.6">
      <c r="A87" s="2">
        <f t="shared" si="10"/>
        <v>86</v>
      </c>
      <c r="B87" s="1" t="s">
        <v>149</v>
      </c>
      <c r="D87" s="1">
        <f t="shared" si="12"/>
        <v>40</v>
      </c>
      <c r="E87" s="1" t="s">
        <v>8</v>
      </c>
      <c r="F87" s="3">
        <f>INDEX(people!$A$2:$A$125, MATCH(G87,people!$B$2:$B$125, 0))</f>
        <v>1840300396</v>
      </c>
      <c r="G87" s="1" t="s">
        <v>87</v>
      </c>
    </row>
    <row r="88" spans="1:7" x14ac:dyDescent="0.6">
      <c r="A88" s="2">
        <f t="shared" si="10"/>
        <v>87</v>
      </c>
      <c r="B88" s="1" t="s">
        <v>149</v>
      </c>
      <c r="D88" s="1">
        <f t="shared" si="12"/>
        <v>40</v>
      </c>
      <c r="E88" s="1" t="s">
        <v>8</v>
      </c>
      <c r="F88" s="3">
        <f>INDEX(people!$A$2:$A$125, MATCH(G88,people!$B$2:$B$125, 0))</f>
        <v>1850800312</v>
      </c>
      <c r="G88" s="1" t="s">
        <v>88</v>
      </c>
    </row>
    <row r="89" spans="1:7" x14ac:dyDescent="0.6">
      <c r="A89" s="2">
        <f t="shared" si="10"/>
        <v>88</v>
      </c>
      <c r="B89" s="1" t="s">
        <v>149</v>
      </c>
      <c r="D89" s="1">
        <f t="shared" si="12"/>
        <v>40</v>
      </c>
      <c r="E89" s="1" t="s">
        <v>8</v>
      </c>
      <c r="F89" s="3">
        <f>INDEX(people!$A$2:$A$125, MATCH(G89,people!$B$2:$B$125, 0))</f>
        <v>1680300330</v>
      </c>
      <c r="G89" s="1" t="s">
        <v>49</v>
      </c>
    </row>
    <row r="90" spans="1:7" x14ac:dyDescent="0.6">
      <c r="A90" s="2">
        <f t="shared" si="10"/>
        <v>89</v>
      </c>
      <c r="B90" s="1" t="s">
        <v>149</v>
      </c>
      <c r="D90" s="1">
        <f t="shared" si="12"/>
        <v>40</v>
      </c>
      <c r="E90" s="1" t="s">
        <v>8</v>
      </c>
      <c r="F90" s="3">
        <f>INDEX(people!$A$2:$A$125, MATCH(G90,people!$B$2:$B$125, 0))</f>
        <v>1730500353</v>
      </c>
      <c r="G90" s="1" t="s">
        <v>75</v>
      </c>
    </row>
    <row r="91" spans="1:7" x14ac:dyDescent="0.6">
      <c r="A91" s="2">
        <f t="shared" si="10"/>
        <v>90</v>
      </c>
      <c r="B91" s="1" t="s">
        <v>149</v>
      </c>
      <c r="D91" s="1">
        <f t="shared" si="12"/>
        <v>40</v>
      </c>
      <c r="E91" s="1" t="s">
        <v>8</v>
      </c>
      <c r="F91" s="3">
        <f>INDEX(people!$A$2:$A$125, MATCH(G91,people!$B$2:$B$125, 0))</f>
        <v>2930300284</v>
      </c>
      <c r="G91" s="1" t="s">
        <v>111</v>
      </c>
    </row>
    <row r="92" spans="1:7" x14ac:dyDescent="0.6">
      <c r="A92" s="2">
        <f t="shared" si="10"/>
        <v>91</v>
      </c>
      <c r="B92" s="1" t="s">
        <v>429</v>
      </c>
      <c r="D92" s="1">
        <f>$A$42</f>
        <v>41</v>
      </c>
      <c r="E92" s="1" t="s">
        <v>144</v>
      </c>
      <c r="F92" s="3">
        <f>INDEX(people!$A$2:$A$125, MATCH(G92,people!$B$2:$B$125, 0))</f>
        <v>1821000140</v>
      </c>
      <c r="G92" s="1" t="s">
        <v>66</v>
      </c>
    </row>
    <row r="93" spans="1:7" x14ac:dyDescent="0.6">
      <c r="A93" s="2">
        <f t="shared" si="10"/>
        <v>92</v>
      </c>
      <c r="B93" s="1" t="s">
        <v>429</v>
      </c>
      <c r="D93" s="1">
        <f t="shared" ref="D93:D97" si="13">$A$42</f>
        <v>41</v>
      </c>
      <c r="E93" s="1" t="s">
        <v>144</v>
      </c>
      <c r="F93" s="3">
        <f>INDEX(people!$A$2:$A$125, MATCH(G93,people!$B$2:$B$125, 0))</f>
        <v>1901200130</v>
      </c>
      <c r="G93" s="1" t="s">
        <v>93</v>
      </c>
    </row>
    <row r="94" spans="1:7" x14ac:dyDescent="0.6">
      <c r="A94" s="2">
        <f t="shared" si="10"/>
        <v>93</v>
      </c>
      <c r="B94" s="1" t="s">
        <v>150</v>
      </c>
      <c r="D94" s="1">
        <f t="shared" si="13"/>
        <v>41</v>
      </c>
      <c r="E94" s="1" t="s">
        <v>8</v>
      </c>
      <c r="F94" s="3">
        <f>INDEX(people!$A$2:$A$125, MATCH(G94,people!$B$2:$B$125, 0))</f>
        <v>2702100269</v>
      </c>
      <c r="G94" s="1" t="s">
        <v>64</v>
      </c>
    </row>
    <row r="95" spans="1:7" x14ac:dyDescent="0.6">
      <c r="A95" s="2">
        <f t="shared" si="10"/>
        <v>94</v>
      </c>
      <c r="B95" s="1" t="s">
        <v>150</v>
      </c>
      <c r="D95" s="1">
        <f t="shared" si="13"/>
        <v>41</v>
      </c>
      <c r="E95" s="1" t="s">
        <v>8</v>
      </c>
      <c r="F95" s="3">
        <f>INDEX(people!$A$2:$A$125, MATCH(G95,people!$B$2:$B$125, 0))</f>
        <v>1860300387</v>
      </c>
      <c r="G95" s="1" t="s">
        <v>67</v>
      </c>
    </row>
    <row r="96" spans="1:7" x14ac:dyDescent="0.6">
      <c r="A96" s="2">
        <f t="shared" si="10"/>
        <v>95</v>
      </c>
      <c r="B96" s="1" t="s">
        <v>150</v>
      </c>
      <c r="D96" s="1">
        <f t="shared" si="13"/>
        <v>41</v>
      </c>
      <c r="E96" s="1" t="s">
        <v>8</v>
      </c>
      <c r="F96" s="3">
        <f>INDEX(people!$A$2:$A$125, MATCH(G96,people!$B$2:$B$125, 0))</f>
        <v>2910300320</v>
      </c>
      <c r="G96" s="1" t="s">
        <v>68</v>
      </c>
    </row>
    <row r="97" spans="1:7" x14ac:dyDescent="0.6">
      <c r="A97" s="2">
        <f t="shared" si="10"/>
        <v>96</v>
      </c>
      <c r="B97" s="1" t="s">
        <v>150</v>
      </c>
      <c r="D97" s="1">
        <f t="shared" si="13"/>
        <v>41</v>
      </c>
      <c r="E97" s="1" t="s">
        <v>8</v>
      </c>
      <c r="F97" s="3">
        <f>INDEX(people!$A$2:$A$125, MATCH(G97,people!$B$2:$B$125, 0))</f>
        <v>2860300359</v>
      </c>
      <c r="G97" s="1" t="s">
        <v>94</v>
      </c>
    </row>
    <row r="98" spans="1:7" x14ac:dyDescent="0.6">
      <c r="A98" s="2">
        <f t="shared" si="10"/>
        <v>97</v>
      </c>
      <c r="B98" s="1" t="s">
        <v>151</v>
      </c>
      <c r="D98" s="1">
        <f>$A$43</f>
        <v>42</v>
      </c>
      <c r="E98" s="1" t="s">
        <v>8</v>
      </c>
      <c r="F98" s="3">
        <f>INDEX(people!$A$2:$A$125, MATCH(G98,people!$B$2:$B$125, 0))</f>
        <v>1730300451</v>
      </c>
      <c r="G98" s="1" t="s">
        <v>101</v>
      </c>
    </row>
    <row r="99" spans="1:7" x14ac:dyDescent="0.6">
      <c r="A99" s="2">
        <f t="shared" si="10"/>
        <v>98</v>
      </c>
      <c r="B99" s="1" t="s">
        <v>151</v>
      </c>
      <c r="D99" s="1">
        <f>$A$43</f>
        <v>42</v>
      </c>
      <c r="E99" s="1" t="s">
        <v>8</v>
      </c>
      <c r="F99" s="3">
        <f>INDEX(people!$A$2:$A$125, MATCH(G99,people!$B$2:$B$125, 0))</f>
        <v>1942000040</v>
      </c>
      <c r="G99" s="1" t="s">
        <v>112</v>
      </c>
    </row>
    <row r="100" spans="1:7" x14ac:dyDescent="0.6">
      <c r="A100" s="2">
        <f t="shared" si="10"/>
        <v>99</v>
      </c>
      <c r="B100" s="1" t="s">
        <v>430</v>
      </c>
      <c r="D100" s="1">
        <f>$A$45</f>
        <v>44</v>
      </c>
      <c r="E100" s="1" t="s">
        <v>144</v>
      </c>
      <c r="F100" s="3">
        <f>INDEX(people!$A$2:$A$125, MATCH(G100,people!$B$2:$B$125, 0))</f>
        <v>2000300183</v>
      </c>
      <c r="G100" s="1" t="s">
        <v>118</v>
      </c>
    </row>
    <row r="101" spans="1:7" x14ac:dyDescent="0.6">
      <c r="A101" s="2">
        <f t="shared" si="10"/>
        <v>100</v>
      </c>
      <c r="B101" s="1" t="s">
        <v>402</v>
      </c>
      <c r="D101" s="1">
        <f t="shared" ref="D101:D102" si="14">$A$45</f>
        <v>44</v>
      </c>
      <c r="E101" s="1" t="s">
        <v>8</v>
      </c>
      <c r="F101" s="3">
        <f>INDEX(people!$A$2:$A$125, MATCH(G101,people!$B$2:$B$125, 0))</f>
        <v>1910800280</v>
      </c>
      <c r="G101" s="1" t="s">
        <v>71</v>
      </c>
    </row>
    <row r="102" spans="1:7" x14ac:dyDescent="0.6">
      <c r="A102" s="2">
        <f t="shared" si="10"/>
        <v>101</v>
      </c>
      <c r="B102" s="1" t="s">
        <v>402</v>
      </c>
      <c r="D102" s="1">
        <f t="shared" si="14"/>
        <v>44</v>
      </c>
      <c r="E102" s="1" t="s">
        <v>8</v>
      </c>
      <c r="F102" s="3">
        <f>INDEX(people!$A$2:$A$125, MATCH(G102,people!$B$2:$B$125, 0))</f>
        <v>1811400192</v>
      </c>
      <c r="G102" s="1" t="s">
        <v>72</v>
      </c>
    </row>
    <row r="103" spans="1:7" x14ac:dyDescent="0.6">
      <c r="A103" s="2">
        <f t="shared" si="10"/>
        <v>102</v>
      </c>
      <c r="B103" s="1" t="s">
        <v>431</v>
      </c>
      <c r="D103" s="1">
        <f>$A$46</f>
        <v>45</v>
      </c>
      <c r="E103" s="1" t="s">
        <v>144</v>
      </c>
      <c r="F103" s="3">
        <f>INDEX(people!$A$2:$A$125, MATCH(G103,people!$B$2:$B$125, 0))</f>
        <v>1870300100</v>
      </c>
      <c r="G103" s="1" t="s">
        <v>105</v>
      </c>
    </row>
    <row r="104" spans="1:7" x14ac:dyDescent="0.6">
      <c r="A104" s="2">
        <f t="shared" si="10"/>
        <v>103</v>
      </c>
      <c r="B104" s="1" t="s">
        <v>432</v>
      </c>
      <c r="D104" s="1">
        <f>$A$47</f>
        <v>46</v>
      </c>
      <c r="E104" s="1" t="s">
        <v>144</v>
      </c>
      <c r="F104" s="3">
        <f>INDEX(people!$A$2:$A$125, MATCH(G104,people!$B$2:$B$125, 0))</f>
        <v>1680300367</v>
      </c>
      <c r="G104" s="1" t="s">
        <v>80</v>
      </c>
    </row>
    <row r="105" spans="1:7" x14ac:dyDescent="0.6">
      <c r="A105" s="2">
        <f t="shared" si="10"/>
        <v>104</v>
      </c>
      <c r="B105" s="1" t="s">
        <v>152</v>
      </c>
      <c r="D105" s="1">
        <f>$A$47</f>
        <v>46</v>
      </c>
      <c r="E105" s="1" t="s">
        <v>8</v>
      </c>
      <c r="F105" s="3">
        <f>INDEX(people!$A$2:$A$125, MATCH(G105,people!$B$2:$B$125, 0))</f>
        <v>2680300175</v>
      </c>
      <c r="G105" s="1" t="s">
        <v>95</v>
      </c>
    </row>
  </sheetData>
  <phoneticPr fontId="3" type="noConversion"/>
  <pageMargins left="0.7" right="0.7" top="0.75" bottom="0.75" header="0.3" footer="0.3"/>
  <pageSetup paperSize="8" orientation="portrait" horizontalDpi="1200" verticalDpi="1200" r:id="rId1"/>
  <ignoredErrors>
    <ignoredError sqref="A1:G1 C2:E2 C12 E12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25"/>
  <sheetViews>
    <sheetView topLeftCell="A68" zoomScale="104" zoomScaleNormal="104" workbookViewId="0">
      <selection activeCell="C80" sqref="C80"/>
    </sheetView>
  </sheetViews>
  <sheetFormatPr defaultRowHeight="15.6" x14ac:dyDescent="0.35"/>
  <cols>
    <col min="1" max="1" width="18.6328125" style="4" customWidth="1"/>
    <col min="2" max="2" width="35.26953125" customWidth="1"/>
    <col min="3" max="4" width="34.1796875" customWidth="1"/>
    <col min="5" max="5" width="12.7265625" bestFit="1" customWidth="1"/>
    <col min="6" max="6" width="10.90625" bestFit="1" customWidth="1"/>
    <col min="7" max="7" width="10.36328125" bestFit="1" customWidth="1"/>
    <col min="8" max="8" width="14.90625" bestFit="1" customWidth="1"/>
    <col min="9" max="9" width="12.1796875" bestFit="1" customWidth="1"/>
    <col min="10" max="10" width="8.90625" bestFit="1" customWidth="1"/>
    <col min="11" max="11" width="10.6328125" bestFit="1" customWidth="1"/>
  </cols>
  <sheetData>
    <row r="1" spans="1:11" x14ac:dyDescent="0.35">
      <c r="A1" s="4" t="s">
        <v>0</v>
      </c>
      <c r="B1" t="s">
        <v>1</v>
      </c>
      <c r="C1" t="s">
        <v>9</v>
      </c>
      <c r="D1" t="s">
        <v>153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</row>
    <row r="2" spans="1:11" ht="17.2" x14ac:dyDescent="0.5">
      <c r="A2" s="5">
        <v>1680300332</v>
      </c>
      <c r="B2" s="6" t="s">
        <v>17</v>
      </c>
      <c r="C2" t="s">
        <v>278</v>
      </c>
      <c r="D2" t="s">
        <v>154</v>
      </c>
      <c r="E2" t="s">
        <v>7</v>
      </c>
      <c r="F2" t="s">
        <v>7</v>
      </c>
      <c r="G2" t="s">
        <v>7</v>
      </c>
      <c r="H2" t="s">
        <v>7</v>
      </c>
      <c r="I2" t="s">
        <v>7</v>
      </c>
      <c r="J2" t="s">
        <v>7</v>
      </c>
      <c r="K2" t="s">
        <v>7</v>
      </c>
    </row>
    <row r="3" spans="1:11" ht="17.2" x14ac:dyDescent="0.5">
      <c r="A3" s="5" t="s">
        <v>18</v>
      </c>
      <c r="B3" s="6" t="s">
        <v>19</v>
      </c>
      <c r="C3" t="s">
        <v>279</v>
      </c>
      <c r="D3" t="s">
        <v>155</v>
      </c>
      <c r="E3" t="s">
        <v>7</v>
      </c>
      <c r="F3" t="s">
        <v>7</v>
      </c>
      <c r="G3" t="s">
        <v>7</v>
      </c>
      <c r="H3" t="s">
        <v>7</v>
      </c>
      <c r="I3" t="s">
        <v>7</v>
      </c>
      <c r="J3" t="s">
        <v>7</v>
      </c>
      <c r="K3" t="s">
        <v>7</v>
      </c>
    </row>
    <row r="4" spans="1:11" ht="17.2" x14ac:dyDescent="0.5">
      <c r="A4" s="5">
        <v>1710300275</v>
      </c>
      <c r="B4" s="6" t="s">
        <v>20</v>
      </c>
      <c r="C4" t="s">
        <v>280</v>
      </c>
      <c r="D4" t="s">
        <v>156</v>
      </c>
      <c r="E4" t="s">
        <v>7</v>
      </c>
      <c r="F4" t="s">
        <v>7</v>
      </c>
      <c r="G4" t="s">
        <v>7</v>
      </c>
      <c r="H4" t="s">
        <v>7</v>
      </c>
      <c r="I4" t="s">
        <v>7</v>
      </c>
      <c r="J4" t="s">
        <v>7</v>
      </c>
      <c r="K4" t="s">
        <v>7</v>
      </c>
    </row>
    <row r="5" spans="1:11" ht="17.2" x14ac:dyDescent="0.5">
      <c r="A5" s="5">
        <v>1800300530</v>
      </c>
      <c r="B5" s="6" t="s">
        <v>21</v>
      </c>
      <c r="C5" t="s">
        <v>281</v>
      </c>
      <c r="D5" t="s">
        <v>157</v>
      </c>
      <c r="F5" t="s">
        <v>7</v>
      </c>
      <c r="G5" t="s">
        <v>7</v>
      </c>
      <c r="H5" t="s">
        <v>7</v>
      </c>
      <c r="I5" t="s">
        <v>7</v>
      </c>
      <c r="J5" t="s">
        <v>7</v>
      </c>
      <c r="K5" t="s">
        <v>7</v>
      </c>
    </row>
    <row r="6" spans="1:11" ht="17.2" x14ac:dyDescent="0.5">
      <c r="A6" s="5">
        <v>2680300154</v>
      </c>
      <c r="B6" s="6" t="s">
        <v>22</v>
      </c>
      <c r="C6" t="s">
        <v>282</v>
      </c>
      <c r="D6" t="s">
        <v>158</v>
      </c>
      <c r="E6" t="s">
        <v>7</v>
      </c>
      <c r="F6" t="s">
        <v>7</v>
      </c>
      <c r="G6" t="s">
        <v>7</v>
      </c>
      <c r="H6" t="s">
        <v>7</v>
      </c>
      <c r="I6" t="s">
        <v>7</v>
      </c>
      <c r="J6" t="s">
        <v>7</v>
      </c>
      <c r="K6" t="s">
        <v>7</v>
      </c>
    </row>
    <row r="7" spans="1:11" ht="17.2" x14ac:dyDescent="0.5">
      <c r="A7" s="5">
        <v>1680300331</v>
      </c>
      <c r="B7" s="6" t="s">
        <v>23</v>
      </c>
      <c r="C7" t="s">
        <v>283</v>
      </c>
      <c r="D7" t="s">
        <v>159</v>
      </c>
      <c r="E7" t="s">
        <v>7</v>
      </c>
      <c r="F7" t="s">
        <v>7</v>
      </c>
      <c r="G7" t="s">
        <v>7</v>
      </c>
      <c r="H7" t="s">
        <v>7</v>
      </c>
      <c r="I7" t="s">
        <v>7</v>
      </c>
      <c r="J7" t="s">
        <v>7</v>
      </c>
      <c r="K7" t="s">
        <v>7</v>
      </c>
    </row>
    <row r="8" spans="1:11" ht="17.2" x14ac:dyDescent="0.5">
      <c r="A8" s="5">
        <v>1750300438</v>
      </c>
      <c r="B8" s="6" t="s">
        <v>24</v>
      </c>
      <c r="C8" t="s">
        <v>284</v>
      </c>
      <c r="D8" t="s">
        <v>160</v>
      </c>
      <c r="E8" t="s">
        <v>7</v>
      </c>
      <c r="F8" t="s">
        <v>7</v>
      </c>
      <c r="G8" t="s">
        <v>7</v>
      </c>
      <c r="H8" t="s">
        <v>7</v>
      </c>
      <c r="I8" t="s">
        <v>7</v>
      </c>
      <c r="J8" t="s">
        <v>7</v>
      </c>
      <c r="K8" t="s">
        <v>7</v>
      </c>
    </row>
    <row r="9" spans="1:11" ht="17.2" x14ac:dyDescent="0.5">
      <c r="A9" s="5">
        <v>1790300234</v>
      </c>
      <c r="B9" s="6" t="s">
        <v>25</v>
      </c>
      <c r="C9" t="s">
        <v>285</v>
      </c>
      <c r="D9" t="s">
        <v>161</v>
      </c>
      <c r="E9" t="s">
        <v>7</v>
      </c>
      <c r="F9" t="s">
        <v>7</v>
      </c>
      <c r="G9" t="s">
        <v>7</v>
      </c>
      <c r="H9" t="s">
        <v>7</v>
      </c>
      <c r="I9" t="s">
        <v>7</v>
      </c>
      <c r="J9" t="s">
        <v>7</v>
      </c>
      <c r="K9" t="s">
        <v>7</v>
      </c>
    </row>
    <row r="10" spans="1:11" ht="17.2" x14ac:dyDescent="0.5">
      <c r="A10" s="5">
        <v>2820300049</v>
      </c>
      <c r="B10" s="6" t="s">
        <v>26</v>
      </c>
      <c r="C10" t="s">
        <v>286</v>
      </c>
      <c r="D10" t="s">
        <v>162</v>
      </c>
      <c r="E10" t="s">
        <v>7</v>
      </c>
      <c r="F10" t="s">
        <v>7</v>
      </c>
      <c r="G10" t="s">
        <v>7</v>
      </c>
      <c r="H10" t="s">
        <v>7</v>
      </c>
      <c r="I10" t="s">
        <v>7</v>
      </c>
      <c r="J10" t="s">
        <v>7</v>
      </c>
      <c r="K10" t="s">
        <v>7</v>
      </c>
    </row>
    <row r="11" spans="1:11" ht="17.2" x14ac:dyDescent="0.5">
      <c r="A11" s="5">
        <v>2720300109</v>
      </c>
      <c r="B11" s="6" t="s">
        <v>27</v>
      </c>
      <c r="C11" t="s">
        <v>287</v>
      </c>
      <c r="D11" t="s">
        <v>163</v>
      </c>
      <c r="E11" t="s">
        <v>7</v>
      </c>
      <c r="F11" t="s">
        <v>7</v>
      </c>
      <c r="G11" t="s">
        <v>7</v>
      </c>
      <c r="H11" t="s">
        <v>7</v>
      </c>
      <c r="I11" t="s">
        <v>7</v>
      </c>
      <c r="J11" t="s">
        <v>7</v>
      </c>
      <c r="K11" t="s">
        <v>7</v>
      </c>
    </row>
    <row r="12" spans="1:11" ht="17.2" x14ac:dyDescent="0.5">
      <c r="A12" s="5">
        <v>1660300189</v>
      </c>
      <c r="B12" s="6" t="s">
        <v>28</v>
      </c>
      <c r="C12" t="s">
        <v>288</v>
      </c>
      <c r="D12" t="s">
        <v>164</v>
      </c>
      <c r="E12" t="s">
        <v>7</v>
      </c>
      <c r="F12" t="s">
        <v>7</v>
      </c>
      <c r="G12" t="s">
        <v>7</v>
      </c>
      <c r="H12" t="s">
        <v>7</v>
      </c>
      <c r="I12" t="s">
        <v>7</v>
      </c>
      <c r="J12" t="s">
        <v>7</v>
      </c>
      <c r="K12" t="s">
        <v>7</v>
      </c>
    </row>
    <row r="13" spans="1:11" ht="17.2" x14ac:dyDescent="0.5">
      <c r="A13" s="5">
        <v>2670300101</v>
      </c>
      <c r="B13" s="6" t="s">
        <v>29</v>
      </c>
      <c r="C13" t="s">
        <v>289</v>
      </c>
      <c r="D13" t="s">
        <v>165</v>
      </c>
      <c r="E13" t="s">
        <v>7</v>
      </c>
      <c r="F13" t="s">
        <v>7</v>
      </c>
      <c r="G13" t="s">
        <v>7</v>
      </c>
      <c r="H13" t="s">
        <v>7</v>
      </c>
      <c r="I13" t="s">
        <v>7</v>
      </c>
      <c r="J13" t="s">
        <v>7</v>
      </c>
      <c r="K13" t="s">
        <v>7</v>
      </c>
    </row>
    <row r="14" spans="1:11" ht="17.2" x14ac:dyDescent="0.5">
      <c r="A14" s="5">
        <v>1820300233</v>
      </c>
      <c r="B14" s="6" t="s">
        <v>30</v>
      </c>
      <c r="C14" t="s">
        <v>290</v>
      </c>
      <c r="D14" t="s">
        <v>166</v>
      </c>
      <c r="E14" t="s">
        <v>7</v>
      </c>
      <c r="F14" t="s">
        <v>7</v>
      </c>
      <c r="G14" t="s">
        <v>7</v>
      </c>
      <c r="H14" t="s">
        <v>7</v>
      </c>
      <c r="I14" t="s">
        <v>7</v>
      </c>
      <c r="J14" t="s">
        <v>7</v>
      </c>
      <c r="K14" t="s">
        <v>7</v>
      </c>
    </row>
    <row r="15" spans="1:11" ht="17.2" x14ac:dyDescent="0.5">
      <c r="A15" s="5">
        <v>1890700240</v>
      </c>
      <c r="B15" s="6" t="s">
        <v>31</v>
      </c>
      <c r="C15" t="s">
        <v>291</v>
      </c>
      <c r="D15" t="s">
        <v>167</v>
      </c>
      <c r="E15" t="s">
        <v>7</v>
      </c>
      <c r="F15" t="s">
        <v>7</v>
      </c>
      <c r="G15" t="s">
        <v>7</v>
      </c>
      <c r="H15" t="s">
        <v>7</v>
      </c>
      <c r="I15" t="s">
        <v>7</v>
      </c>
      <c r="J15" t="s">
        <v>7</v>
      </c>
      <c r="K15" t="s">
        <v>7</v>
      </c>
    </row>
    <row r="16" spans="1:11" ht="17.2" x14ac:dyDescent="0.5">
      <c r="A16" s="5">
        <v>2870300243</v>
      </c>
      <c r="B16" s="6" t="s">
        <v>32</v>
      </c>
      <c r="C16" t="s">
        <v>292</v>
      </c>
      <c r="D16" t="s">
        <v>168</v>
      </c>
      <c r="E16" t="s">
        <v>7</v>
      </c>
      <c r="F16" t="s">
        <v>7</v>
      </c>
      <c r="G16" t="s">
        <v>7</v>
      </c>
      <c r="H16" t="s">
        <v>7</v>
      </c>
      <c r="I16" t="s">
        <v>7</v>
      </c>
      <c r="J16" t="s">
        <v>7</v>
      </c>
      <c r="K16" t="s">
        <v>7</v>
      </c>
    </row>
    <row r="17" spans="1:11" ht="17.2" x14ac:dyDescent="0.5">
      <c r="A17" s="5">
        <v>1830300209</v>
      </c>
      <c r="B17" s="6" t="s">
        <v>33</v>
      </c>
      <c r="C17" t="s">
        <v>293</v>
      </c>
      <c r="D17" t="s">
        <v>169</v>
      </c>
      <c r="E17" t="s">
        <v>7</v>
      </c>
      <c r="F17" t="s">
        <v>7</v>
      </c>
      <c r="G17" t="s">
        <v>7</v>
      </c>
      <c r="H17" t="s">
        <v>7</v>
      </c>
      <c r="I17" t="s">
        <v>7</v>
      </c>
      <c r="J17" t="s">
        <v>7</v>
      </c>
      <c r="K17" t="s">
        <v>7</v>
      </c>
    </row>
    <row r="18" spans="1:11" ht="17.2" x14ac:dyDescent="0.5">
      <c r="A18" s="5">
        <v>2930300439</v>
      </c>
      <c r="B18" s="6" t="s">
        <v>34</v>
      </c>
      <c r="C18" t="s">
        <v>294</v>
      </c>
      <c r="D18" t="s">
        <v>170</v>
      </c>
      <c r="E18" t="s">
        <v>7</v>
      </c>
      <c r="F18" t="s">
        <v>7</v>
      </c>
      <c r="G18" t="s">
        <v>7</v>
      </c>
      <c r="H18" t="s">
        <v>7</v>
      </c>
      <c r="I18" t="s">
        <v>7</v>
      </c>
      <c r="J18" t="s">
        <v>7</v>
      </c>
      <c r="K18" t="s">
        <v>7</v>
      </c>
    </row>
    <row r="19" spans="1:11" ht="17.2" x14ac:dyDescent="0.5">
      <c r="A19" s="5">
        <v>2870300253</v>
      </c>
      <c r="B19" s="6" t="s">
        <v>35</v>
      </c>
      <c r="C19" t="s">
        <v>295</v>
      </c>
      <c r="D19" t="s">
        <v>171</v>
      </c>
      <c r="E19" t="s">
        <v>7</v>
      </c>
      <c r="F19" t="s">
        <v>7</v>
      </c>
      <c r="G19" t="s">
        <v>7</v>
      </c>
      <c r="H19" t="s">
        <v>7</v>
      </c>
      <c r="I19" t="s">
        <v>7</v>
      </c>
      <c r="J19" t="s">
        <v>7</v>
      </c>
      <c r="K19" t="s">
        <v>7</v>
      </c>
    </row>
    <row r="20" spans="1:11" ht="17.2" x14ac:dyDescent="0.5">
      <c r="A20" s="5">
        <v>2900300246</v>
      </c>
      <c r="B20" s="6" t="s">
        <v>36</v>
      </c>
      <c r="C20" t="s">
        <v>296</v>
      </c>
      <c r="D20" t="s">
        <v>172</v>
      </c>
      <c r="E20" t="s">
        <v>7</v>
      </c>
      <c r="F20" t="s">
        <v>7</v>
      </c>
      <c r="G20" t="s">
        <v>7</v>
      </c>
      <c r="H20" t="s">
        <v>7</v>
      </c>
      <c r="I20" t="s">
        <v>7</v>
      </c>
      <c r="J20" t="s">
        <v>7</v>
      </c>
      <c r="K20" t="s">
        <v>7</v>
      </c>
    </row>
    <row r="21" spans="1:11" ht="17.2" x14ac:dyDescent="0.5">
      <c r="A21" s="5">
        <v>2990300274</v>
      </c>
      <c r="B21" s="6" t="s">
        <v>37</v>
      </c>
      <c r="C21" t="s">
        <v>297</v>
      </c>
      <c r="D21" t="s">
        <v>173</v>
      </c>
      <c r="E21" t="s">
        <v>7</v>
      </c>
      <c r="F21" t="s">
        <v>7</v>
      </c>
      <c r="G21" t="s">
        <v>7</v>
      </c>
      <c r="H21" t="s">
        <v>7</v>
      </c>
      <c r="I21" t="s">
        <v>7</v>
      </c>
      <c r="J21" t="s">
        <v>7</v>
      </c>
      <c r="K21" t="s">
        <v>7</v>
      </c>
    </row>
    <row r="22" spans="1:11" ht="17.2" x14ac:dyDescent="0.5">
      <c r="A22" s="5">
        <v>1840300188</v>
      </c>
      <c r="B22" s="6" t="s">
        <v>38</v>
      </c>
      <c r="C22" t="s">
        <v>298</v>
      </c>
      <c r="D22" t="s">
        <v>174</v>
      </c>
      <c r="E22" t="s">
        <v>7</v>
      </c>
      <c r="F22" t="s">
        <v>7</v>
      </c>
      <c r="G22" t="s">
        <v>7</v>
      </c>
      <c r="H22" t="s">
        <v>7</v>
      </c>
      <c r="I22" t="s">
        <v>7</v>
      </c>
      <c r="J22" t="s">
        <v>7</v>
      </c>
      <c r="K22" t="s">
        <v>7</v>
      </c>
    </row>
    <row r="23" spans="1:11" ht="17.2" x14ac:dyDescent="0.5">
      <c r="A23" s="5">
        <v>2810300213</v>
      </c>
      <c r="B23" s="6" t="s">
        <v>39</v>
      </c>
      <c r="C23" t="s">
        <v>299</v>
      </c>
      <c r="D23" t="s">
        <v>175</v>
      </c>
      <c r="E23" t="s">
        <v>7</v>
      </c>
      <c r="F23" t="s">
        <v>7</v>
      </c>
      <c r="G23" t="s">
        <v>7</v>
      </c>
      <c r="H23" t="s">
        <v>7</v>
      </c>
      <c r="I23" t="s">
        <v>7</v>
      </c>
      <c r="J23" t="s">
        <v>7</v>
      </c>
      <c r="K23" t="s">
        <v>7</v>
      </c>
    </row>
    <row r="24" spans="1:11" ht="17.2" x14ac:dyDescent="0.5">
      <c r="A24" s="5">
        <v>2880300262</v>
      </c>
      <c r="B24" s="6" t="s">
        <v>40</v>
      </c>
      <c r="C24" t="s">
        <v>300</v>
      </c>
      <c r="D24" t="s">
        <v>176</v>
      </c>
      <c r="E24" t="s">
        <v>7</v>
      </c>
      <c r="F24" t="s">
        <v>7</v>
      </c>
      <c r="G24" t="s">
        <v>7</v>
      </c>
      <c r="H24" t="s">
        <v>7</v>
      </c>
      <c r="I24" t="s">
        <v>7</v>
      </c>
      <c r="J24" t="s">
        <v>7</v>
      </c>
      <c r="K24" t="s">
        <v>7</v>
      </c>
    </row>
    <row r="25" spans="1:11" ht="17.2" x14ac:dyDescent="0.5">
      <c r="A25" s="5">
        <v>2980300364</v>
      </c>
      <c r="B25" s="6" t="s">
        <v>41</v>
      </c>
      <c r="C25" t="s">
        <v>301</v>
      </c>
      <c r="D25" t="s">
        <v>177</v>
      </c>
      <c r="E25" t="s">
        <v>7</v>
      </c>
      <c r="F25" t="s">
        <v>7</v>
      </c>
      <c r="G25" t="s">
        <v>7</v>
      </c>
      <c r="H25" t="s">
        <v>7</v>
      </c>
      <c r="I25" t="s">
        <v>7</v>
      </c>
      <c r="J25" t="s">
        <v>7</v>
      </c>
      <c r="K25" t="s">
        <v>7</v>
      </c>
    </row>
    <row r="26" spans="1:11" ht="17.2" x14ac:dyDescent="0.5">
      <c r="A26" s="5">
        <v>1670800495</v>
      </c>
      <c r="B26" s="6" t="s">
        <v>42</v>
      </c>
      <c r="C26" t="s">
        <v>302</v>
      </c>
      <c r="D26" t="s">
        <v>178</v>
      </c>
      <c r="E26" t="s">
        <v>7</v>
      </c>
      <c r="F26" t="s">
        <v>7</v>
      </c>
      <c r="G26" t="s">
        <v>7</v>
      </c>
      <c r="H26" t="s">
        <v>7</v>
      </c>
      <c r="I26" t="s">
        <v>7</v>
      </c>
      <c r="J26" t="s">
        <v>7</v>
      </c>
      <c r="K26" t="s">
        <v>7</v>
      </c>
    </row>
    <row r="27" spans="1:11" ht="17.2" x14ac:dyDescent="0.5">
      <c r="A27" s="5">
        <v>1800300408</v>
      </c>
      <c r="B27" s="6" t="s">
        <v>43</v>
      </c>
      <c r="C27" t="s">
        <v>303</v>
      </c>
      <c r="D27" t="s">
        <v>179</v>
      </c>
      <c r="E27" t="s">
        <v>7</v>
      </c>
      <c r="F27" t="s">
        <v>7</v>
      </c>
      <c r="G27" t="s">
        <v>7</v>
      </c>
      <c r="H27" t="s">
        <v>7</v>
      </c>
      <c r="I27" t="s">
        <v>7</v>
      </c>
      <c r="J27" t="s">
        <v>7</v>
      </c>
      <c r="K27" t="s">
        <v>7</v>
      </c>
    </row>
    <row r="28" spans="1:11" ht="17.2" x14ac:dyDescent="0.5">
      <c r="A28" s="5">
        <v>1830300210</v>
      </c>
      <c r="B28" s="6" t="s">
        <v>44</v>
      </c>
      <c r="C28" t="s">
        <v>304</v>
      </c>
      <c r="D28" t="s">
        <v>180</v>
      </c>
      <c r="E28" t="s">
        <v>7</v>
      </c>
      <c r="F28" t="s">
        <v>7</v>
      </c>
      <c r="G28" t="s">
        <v>7</v>
      </c>
      <c r="H28" t="s">
        <v>7</v>
      </c>
      <c r="I28" t="s">
        <v>7</v>
      </c>
      <c r="J28" t="s">
        <v>7</v>
      </c>
      <c r="K28" t="s">
        <v>7</v>
      </c>
    </row>
    <row r="29" spans="1:11" ht="17.2" x14ac:dyDescent="0.5">
      <c r="A29" s="5">
        <v>1870300227</v>
      </c>
      <c r="B29" s="6" t="s">
        <v>45</v>
      </c>
      <c r="C29" t="s">
        <v>305</v>
      </c>
      <c r="D29" t="s">
        <v>181</v>
      </c>
      <c r="E29" t="s">
        <v>7</v>
      </c>
      <c r="F29" t="s">
        <v>7</v>
      </c>
      <c r="G29" t="s">
        <v>7</v>
      </c>
      <c r="H29" t="s">
        <v>7</v>
      </c>
      <c r="I29" t="s">
        <v>7</v>
      </c>
      <c r="J29" t="s">
        <v>7</v>
      </c>
      <c r="K29" t="s">
        <v>7</v>
      </c>
    </row>
    <row r="30" spans="1:11" ht="17.2" x14ac:dyDescent="0.5">
      <c r="A30" s="5">
        <v>1730300800</v>
      </c>
      <c r="B30" s="6" t="s">
        <v>46</v>
      </c>
      <c r="C30" t="s">
        <v>306</v>
      </c>
      <c r="D30" t="s">
        <v>182</v>
      </c>
      <c r="E30" t="s">
        <v>7</v>
      </c>
      <c r="F30" t="s">
        <v>7</v>
      </c>
      <c r="G30" t="s">
        <v>7</v>
      </c>
      <c r="H30" t="s">
        <v>7</v>
      </c>
      <c r="I30" t="s">
        <v>7</v>
      </c>
      <c r="J30" t="s">
        <v>7</v>
      </c>
      <c r="K30" t="s">
        <v>7</v>
      </c>
    </row>
    <row r="31" spans="1:11" ht="17.2" x14ac:dyDescent="0.5">
      <c r="A31" s="5">
        <v>2890300162</v>
      </c>
      <c r="B31" s="6" t="s">
        <v>47</v>
      </c>
      <c r="C31" t="s">
        <v>307</v>
      </c>
      <c r="D31" t="s">
        <v>183</v>
      </c>
      <c r="E31" t="s">
        <v>7</v>
      </c>
      <c r="F31" t="s">
        <v>7</v>
      </c>
      <c r="G31" t="s">
        <v>7</v>
      </c>
      <c r="H31" t="s">
        <v>7</v>
      </c>
      <c r="I31" t="s">
        <v>7</v>
      </c>
      <c r="J31" t="s">
        <v>7</v>
      </c>
      <c r="K31" t="s">
        <v>7</v>
      </c>
    </row>
    <row r="32" spans="1:11" ht="17.2" x14ac:dyDescent="0.5">
      <c r="A32" s="5">
        <v>2820800126</v>
      </c>
      <c r="B32" s="6" t="s">
        <v>48</v>
      </c>
      <c r="C32" t="s">
        <v>308</v>
      </c>
      <c r="D32" t="s">
        <v>184</v>
      </c>
      <c r="E32" t="s">
        <v>7</v>
      </c>
      <c r="F32" t="s">
        <v>7</v>
      </c>
      <c r="G32" t="s">
        <v>7</v>
      </c>
      <c r="H32" t="s">
        <v>7</v>
      </c>
      <c r="I32" t="s">
        <v>7</v>
      </c>
      <c r="J32" t="s">
        <v>7</v>
      </c>
      <c r="K32" t="s">
        <v>7</v>
      </c>
    </row>
    <row r="33" spans="1:11" ht="17.2" x14ac:dyDescent="0.5">
      <c r="A33" s="5">
        <v>1680300330</v>
      </c>
      <c r="B33" s="6" t="s">
        <v>49</v>
      </c>
      <c r="C33" t="s">
        <v>309</v>
      </c>
      <c r="D33" t="s">
        <v>185</v>
      </c>
      <c r="E33" t="s">
        <v>7</v>
      </c>
      <c r="F33" t="s">
        <v>7</v>
      </c>
      <c r="G33" t="s">
        <v>7</v>
      </c>
      <c r="H33" t="s">
        <v>7</v>
      </c>
      <c r="I33" t="s">
        <v>7</v>
      </c>
      <c r="J33" t="s">
        <v>7</v>
      </c>
      <c r="K33" t="s">
        <v>7</v>
      </c>
    </row>
    <row r="34" spans="1:11" ht="17.2" x14ac:dyDescent="0.5">
      <c r="A34" s="5">
        <v>2920300428</v>
      </c>
      <c r="B34" s="6" t="s">
        <v>50</v>
      </c>
      <c r="C34" t="s">
        <v>310</v>
      </c>
      <c r="D34" t="s">
        <v>186</v>
      </c>
      <c r="E34" t="s">
        <v>7</v>
      </c>
      <c r="F34" t="s">
        <v>7</v>
      </c>
      <c r="G34" t="s">
        <v>7</v>
      </c>
      <c r="H34" t="s">
        <v>7</v>
      </c>
      <c r="I34" t="s">
        <v>7</v>
      </c>
      <c r="J34" t="s">
        <v>7</v>
      </c>
      <c r="K34" t="s">
        <v>7</v>
      </c>
    </row>
    <row r="35" spans="1:11" ht="17.2" x14ac:dyDescent="0.5">
      <c r="A35" s="5">
        <v>2870600141</v>
      </c>
      <c r="B35" s="6" t="s">
        <v>51</v>
      </c>
      <c r="C35" t="s">
        <v>311</v>
      </c>
      <c r="D35" t="s">
        <v>187</v>
      </c>
      <c r="E35" t="s">
        <v>7</v>
      </c>
      <c r="F35" t="s">
        <v>7</v>
      </c>
      <c r="G35" t="s">
        <v>7</v>
      </c>
      <c r="H35" t="s">
        <v>7</v>
      </c>
      <c r="I35" t="s">
        <v>7</v>
      </c>
      <c r="J35" t="s">
        <v>7</v>
      </c>
      <c r="K35" t="s">
        <v>7</v>
      </c>
    </row>
    <row r="36" spans="1:11" ht="17.2" x14ac:dyDescent="0.5">
      <c r="A36" s="5">
        <v>1920300193</v>
      </c>
      <c r="B36" s="6" t="s">
        <v>52</v>
      </c>
      <c r="C36" t="s">
        <v>312</v>
      </c>
      <c r="D36" t="s">
        <v>188</v>
      </c>
      <c r="E36" t="s">
        <v>7</v>
      </c>
      <c r="F36" t="s">
        <v>7</v>
      </c>
      <c r="G36" t="s">
        <v>7</v>
      </c>
      <c r="H36" t="s">
        <v>7</v>
      </c>
      <c r="I36" t="s">
        <v>7</v>
      </c>
      <c r="J36" t="s">
        <v>7</v>
      </c>
      <c r="K36" t="s">
        <v>7</v>
      </c>
    </row>
    <row r="37" spans="1:11" ht="17.2" x14ac:dyDescent="0.5">
      <c r="A37" s="5">
        <v>1900300145</v>
      </c>
      <c r="B37" s="6" t="s">
        <v>53</v>
      </c>
      <c r="C37" t="s">
        <v>313</v>
      </c>
      <c r="D37" t="s">
        <v>189</v>
      </c>
      <c r="E37" t="s">
        <v>7</v>
      </c>
      <c r="F37" t="s">
        <v>7</v>
      </c>
      <c r="G37" t="s">
        <v>7</v>
      </c>
      <c r="H37" t="s">
        <v>7</v>
      </c>
      <c r="I37" t="s">
        <v>7</v>
      </c>
      <c r="J37" t="s">
        <v>7</v>
      </c>
      <c r="K37" t="s">
        <v>7</v>
      </c>
    </row>
    <row r="38" spans="1:11" ht="17.2" x14ac:dyDescent="0.5">
      <c r="A38" s="5">
        <v>2930300307</v>
      </c>
      <c r="B38" s="6" t="s">
        <v>54</v>
      </c>
      <c r="C38" t="s">
        <v>314</v>
      </c>
      <c r="D38" t="s">
        <v>190</v>
      </c>
      <c r="E38" t="s">
        <v>7</v>
      </c>
      <c r="F38" t="s">
        <v>7</v>
      </c>
      <c r="G38" t="s">
        <v>7</v>
      </c>
      <c r="H38" t="s">
        <v>7</v>
      </c>
      <c r="I38" t="s">
        <v>7</v>
      </c>
      <c r="J38" t="s">
        <v>7</v>
      </c>
      <c r="K38" t="s">
        <v>7</v>
      </c>
    </row>
    <row r="39" spans="1:11" ht="17.2" x14ac:dyDescent="0.5">
      <c r="A39" s="5">
        <v>1670300249</v>
      </c>
      <c r="B39" s="6" t="s">
        <v>55</v>
      </c>
      <c r="C39" t="s">
        <v>315</v>
      </c>
      <c r="D39" t="s">
        <v>191</v>
      </c>
      <c r="E39" t="s">
        <v>7</v>
      </c>
      <c r="F39" t="s">
        <v>7</v>
      </c>
      <c r="G39" t="s">
        <v>7</v>
      </c>
      <c r="H39" t="s">
        <v>7</v>
      </c>
      <c r="I39" t="s">
        <v>7</v>
      </c>
      <c r="J39" t="s">
        <v>7</v>
      </c>
      <c r="K39" t="s">
        <v>7</v>
      </c>
    </row>
    <row r="40" spans="1:11" ht="17.2" x14ac:dyDescent="0.5">
      <c r="A40" s="5">
        <v>2750300112</v>
      </c>
      <c r="B40" s="6" t="s">
        <v>56</v>
      </c>
      <c r="C40" t="s">
        <v>316</v>
      </c>
      <c r="D40" t="s">
        <v>192</v>
      </c>
      <c r="E40" t="s">
        <v>7</v>
      </c>
      <c r="F40" t="s">
        <v>7</v>
      </c>
      <c r="G40" t="s">
        <v>7</v>
      </c>
      <c r="H40" t="s">
        <v>7</v>
      </c>
      <c r="I40" t="s">
        <v>7</v>
      </c>
      <c r="J40" t="s">
        <v>7</v>
      </c>
      <c r="K40" t="s">
        <v>7</v>
      </c>
    </row>
    <row r="41" spans="1:11" ht="17.2" x14ac:dyDescent="0.5">
      <c r="A41" s="5">
        <v>2800300262</v>
      </c>
      <c r="B41" s="6" t="s">
        <v>57</v>
      </c>
      <c r="C41" t="s">
        <v>317</v>
      </c>
      <c r="D41" t="s">
        <v>193</v>
      </c>
      <c r="E41" t="s">
        <v>7</v>
      </c>
      <c r="F41" t="s">
        <v>7</v>
      </c>
      <c r="G41" t="s">
        <v>7</v>
      </c>
      <c r="H41" t="s">
        <v>7</v>
      </c>
      <c r="I41" t="s">
        <v>7</v>
      </c>
      <c r="J41" t="s">
        <v>7</v>
      </c>
      <c r="K41" t="s">
        <v>7</v>
      </c>
    </row>
    <row r="42" spans="1:11" ht="17.2" x14ac:dyDescent="0.5">
      <c r="A42" s="5">
        <v>1840300118</v>
      </c>
      <c r="B42" s="6" t="s">
        <v>58</v>
      </c>
      <c r="C42" t="s">
        <v>318</v>
      </c>
      <c r="D42" t="s">
        <v>194</v>
      </c>
      <c r="E42" t="s">
        <v>7</v>
      </c>
      <c r="F42" t="s">
        <v>7</v>
      </c>
      <c r="G42" t="s">
        <v>7</v>
      </c>
      <c r="H42" t="s">
        <v>7</v>
      </c>
      <c r="I42" t="s">
        <v>7</v>
      </c>
      <c r="J42" t="s">
        <v>7</v>
      </c>
      <c r="K42" t="s">
        <v>7</v>
      </c>
    </row>
    <row r="43" spans="1:11" ht="17.2" x14ac:dyDescent="0.5">
      <c r="A43" s="5">
        <v>1840600176</v>
      </c>
      <c r="B43" s="6" t="s">
        <v>59</v>
      </c>
      <c r="C43" t="s">
        <v>319</v>
      </c>
      <c r="D43" t="s">
        <v>195</v>
      </c>
      <c r="E43" t="s">
        <v>7</v>
      </c>
      <c r="F43" t="s">
        <v>7</v>
      </c>
      <c r="G43" t="s">
        <v>7</v>
      </c>
      <c r="H43" t="s">
        <v>7</v>
      </c>
      <c r="I43" t="s">
        <v>7</v>
      </c>
      <c r="J43" t="s">
        <v>7</v>
      </c>
      <c r="K43" t="s">
        <v>7</v>
      </c>
    </row>
    <row r="44" spans="1:11" ht="17.2" x14ac:dyDescent="0.5">
      <c r="A44" s="5">
        <v>1820300058</v>
      </c>
      <c r="B44" s="6" t="s">
        <v>60</v>
      </c>
      <c r="C44" t="s">
        <v>320</v>
      </c>
      <c r="D44" t="s">
        <v>196</v>
      </c>
      <c r="E44" t="s">
        <v>7</v>
      </c>
      <c r="F44" t="s">
        <v>7</v>
      </c>
      <c r="G44" t="s">
        <v>7</v>
      </c>
      <c r="H44" t="s">
        <v>7</v>
      </c>
      <c r="I44" t="s">
        <v>7</v>
      </c>
      <c r="J44" t="s">
        <v>7</v>
      </c>
      <c r="K44" t="s">
        <v>7</v>
      </c>
    </row>
    <row r="45" spans="1:11" ht="17.2" x14ac:dyDescent="0.5">
      <c r="A45" s="5">
        <v>1710300321</v>
      </c>
      <c r="B45" s="6" t="s">
        <v>61</v>
      </c>
      <c r="C45" t="s">
        <v>321</v>
      </c>
      <c r="D45" t="s">
        <v>197</v>
      </c>
      <c r="E45" t="s">
        <v>7</v>
      </c>
      <c r="F45" t="s">
        <v>7</v>
      </c>
      <c r="G45" t="s">
        <v>7</v>
      </c>
      <c r="H45" t="s">
        <v>7</v>
      </c>
      <c r="I45" t="s">
        <v>7</v>
      </c>
      <c r="J45" t="s">
        <v>7</v>
      </c>
      <c r="K45" t="s">
        <v>7</v>
      </c>
    </row>
    <row r="46" spans="1:11" ht="17.2" x14ac:dyDescent="0.5">
      <c r="A46" s="5">
        <v>1820300041</v>
      </c>
      <c r="B46" s="6" t="s">
        <v>62</v>
      </c>
      <c r="C46" t="s">
        <v>322</v>
      </c>
      <c r="D46" t="s">
        <v>198</v>
      </c>
    </row>
    <row r="47" spans="1:11" ht="17.2" x14ac:dyDescent="0.5">
      <c r="A47" s="5">
        <v>2820300165</v>
      </c>
      <c r="B47" s="6" t="s">
        <v>63</v>
      </c>
      <c r="C47" t="s">
        <v>323</v>
      </c>
      <c r="D47" t="s">
        <v>199</v>
      </c>
    </row>
    <row r="48" spans="1:11" ht="17.2" x14ac:dyDescent="0.5">
      <c r="A48" s="5">
        <v>2702100269</v>
      </c>
      <c r="B48" s="6" t="s">
        <v>64</v>
      </c>
      <c r="C48" t="s">
        <v>324</v>
      </c>
      <c r="D48" t="s">
        <v>200</v>
      </c>
    </row>
    <row r="49" spans="1:4" ht="17.2" x14ac:dyDescent="0.5">
      <c r="A49" s="5">
        <v>1872100269</v>
      </c>
      <c r="B49" s="6" t="s">
        <v>65</v>
      </c>
      <c r="C49" t="s">
        <v>325</v>
      </c>
      <c r="D49" t="s">
        <v>201</v>
      </c>
    </row>
    <row r="50" spans="1:4" ht="17.2" x14ac:dyDescent="0.5">
      <c r="A50" s="5">
        <v>1821000140</v>
      </c>
      <c r="B50" s="6" t="s">
        <v>66</v>
      </c>
      <c r="C50" t="s">
        <v>326</v>
      </c>
      <c r="D50" t="s">
        <v>202</v>
      </c>
    </row>
    <row r="51" spans="1:4" ht="17.2" x14ac:dyDescent="0.5">
      <c r="A51" s="5">
        <v>1860300387</v>
      </c>
      <c r="B51" s="6" t="s">
        <v>67</v>
      </c>
      <c r="C51" t="s">
        <v>327</v>
      </c>
      <c r="D51" t="s">
        <v>203</v>
      </c>
    </row>
    <row r="52" spans="1:4" ht="17.2" x14ac:dyDescent="0.5">
      <c r="A52" s="5">
        <v>2910300320</v>
      </c>
      <c r="B52" s="6" t="s">
        <v>68</v>
      </c>
      <c r="C52" t="s">
        <v>328</v>
      </c>
      <c r="D52" t="s">
        <v>204</v>
      </c>
    </row>
    <row r="53" spans="1:4" ht="17.2" x14ac:dyDescent="0.5">
      <c r="A53" s="5">
        <v>1920300331</v>
      </c>
      <c r="B53" s="6" t="s">
        <v>69</v>
      </c>
      <c r="C53" t="s">
        <v>329</v>
      </c>
      <c r="D53" t="s">
        <v>205</v>
      </c>
    </row>
    <row r="54" spans="1:4" ht="17.2" x14ac:dyDescent="0.5">
      <c r="A54" s="5">
        <v>1904800001</v>
      </c>
      <c r="B54" s="6" t="s">
        <v>70</v>
      </c>
      <c r="C54" t="s">
        <v>330</v>
      </c>
      <c r="D54" t="s">
        <v>206</v>
      </c>
    </row>
    <row r="55" spans="1:4" ht="17.2" x14ac:dyDescent="0.5">
      <c r="A55" s="5">
        <v>1910800280</v>
      </c>
      <c r="B55" s="6" t="s">
        <v>71</v>
      </c>
      <c r="C55" t="s">
        <v>331</v>
      </c>
      <c r="D55" t="s">
        <v>207</v>
      </c>
    </row>
    <row r="56" spans="1:4" ht="17.2" x14ac:dyDescent="0.5">
      <c r="A56" s="5">
        <v>1811400192</v>
      </c>
      <c r="B56" s="6" t="s">
        <v>72</v>
      </c>
      <c r="C56" t="s">
        <v>332</v>
      </c>
      <c r="D56" t="s">
        <v>208</v>
      </c>
    </row>
    <row r="57" spans="1:4" ht="17.2" x14ac:dyDescent="0.5">
      <c r="A57" s="5">
        <v>2840300235</v>
      </c>
      <c r="B57" s="6" t="s">
        <v>73</v>
      </c>
      <c r="C57" t="s">
        <v>333</v>
      </c>
      <c r="D57" t="s">
        <v>209</v>
      </c>
    </row>
    <row r="58" spans="1:4" ht="17.2" x14ac:dyDescent="0.5">
      <c r="A58" s="5">
        <v>1680300327</v>
      </c>
      <c r="B58" s="6" t="s">
        <v>74</v>
      </c>
      <c r="C58" t="s">
        <v>334</v>
      </c>
      <c r="D58" t="s">
        <v>210</v>
      </c>
    </row>
    <row r="59" spans="1:4" ht="17.2" x14ac:dyDescent="0.5">
      <c r="A59" s="5">
        <v>1730500353</v>
      </c>
      <c r="B59" s="6" t="s">
        <v>75</v>
      </c>
      <c r="C59" t="s">
        <v>335</v>
      </c>
      <c r="D59" t="s">
        <v>211</v>
      </c>
    </row>
    <row r="60" spans="1:4" ht="17.2" x14ac:dyDescent="0.5">
      <c r="A60" s="5">
        <v>1930700107</v>
      </c>
      <c r="B60" s="6" t="s">
        <v>76</v>
      </c>
      <c r="C60" t="s">
        <v>336</v>
      </c>
      <c r="D60" t="s">
        <v>212</v>
      </c>
    </row>
    <row r="61" spans="1:4" ht="17.2" x14ac:dyDescent="0.5">
      <c r="A61" s="5">
        <v>1680800830</v>
      </c>
      <c r="B61" s="6" t="s">
        <v>77</v>
      </c>
      <c r="C61" t="s">
        <v>337</v>
      </c>
      <c r="D61" t="s">
        <v>213</v>
      </c>
    </row>
    <row r="62" spans="1:4" ht="17.2" x14ac:dyDescent="0.5">
      <c r="A62" s="5">
        <v>2690300192</v>
      </c>
      <c r="B62" s="6" t="s">
        <v>78</v>
      </c>
      <c r="C62" t="s">
        <v>338</v>
      </c>
      <c r="D62" t="s">
        <v>214</v>
      </c>
    </row>
    <row r="63" spans="1:4" ht="17.2" x14ac:dyDescent="0.5">
      <c r="A63" s="5">
        <v>1800800450</v>
      </c>
      <c r="B63" s="6" t="s">
        <v>79</v>
      </c>
      <c r="C63" t="s">
        <v>339</v>
      </c>
      <c r="D63" t="s">
        <v>215</v>
      </c>
    </row>
    <row r="64" spans="1:4" ht="17.2" x14ac:dyDescent="0.5">
      <c r="A64" s="5">
        <v>1680300367</v>
      </c>
      <c r="B64" s="6" t="s">
        <v>80</v>
      </c>
      <c r="C64" t="s">
        <v>340</v>
      </c>
      <c r="D64" t="s">
        <v>216</v>
      </c>
    </row>
    <row r="65" spans="1:4" ht="17.2" x14ac:dyDescent="0.5">
      <c r="A65" s="5">
        <v>2680300173</v>
      </c>
      <c r="B65" s="6" t="s">
        <v>81</v>
      </c>
      <c r="C65" t="s">
        <v>341</v>
      </c>
      <c r="D65" t="s">
        <v>217</v>
      </c>
    </row>
    <row r="66" spans="1:4" ht="17.2" x14ac:dyDescent="0.5">
      <c r="A66" s="5">
        <v>1831200363</v>
      </c>
      <c r="B66" s="6" t="s">
        <v>82</v>
      </c>
      <c r="C66" t="s">
        <v>342</v>
      </c>
      <c r="D66" t="s">
        <v>218</v>
      </c>
    </row>
    <row r="67" spans="1:4" ht="17.2" x14ac:dyDescent="0.5">
      <c r="A67" s="5">
        <v>1860300283</v>
      </c>
      <c r="B67" s="6" t="s">
        <v>83</v>
      </c>
      <c r="C67" t="s">
        <v>343</v>
      </c>
      <c r="D67" t="s">
        <v>219</v>
      </c>
    </row>
    <row r="68" spans="1:4" ht="17.2" x14ac:dyDescent="0.5">
      <c r="A68" s="5">
        <v>2830300017</v>
      </c>
      <c r="B68" s="6" t="s">
        <v>84</v>
      </c>
      <c r="C68" t="s">
        <v>344</v>
      </c>
      <c r="D68" t="s">
        <v>220</v>
      </c>
    </row>
    <row r="69" spans="1:4" ht="17.2" x14ac:dyDescent="0.5">
      <c r="A69" s="5">
        <v>1901200129</v>
      </c>
      <c r="B69" s="6" t="s">
        <v>85</v>
      </c>
      <c r="C69" t="s">
        <v>345</v>
      </c>
      <c r="D69" t="s">
        <v>221</v>
      </c>
    </row>
    <row r="70" spans="1:4" ht="17.2" x14ac:dyDescent="0.5">
      <c r="A70" s="5">
        <v>2670800184</v>
      </c>
      <c r="B70" s="6" t="s">
        <v>86</v>
      </c>
      <c r="C70" t="s">
        <v>346</v>
      </c>
      <c r="D70" t="s">
        <v>222</v>
      </c>
    </row>
    <row r="71" spans="1:4" ht="17.2" x14ac:dyDescent="0.5">
      <c r="A71" s="5">
        <v>1840300396</v>
      </c>
      <c r="B71" s="6" t="s">
        <v>87</v>
      </c>
      <c r="C71" t="s">
        <v>347</v>
      </c>
      <c r="D71" t="s">
        <v>223</v>
      </c>
    </row>
    <row r="72" spans="1:4" ht="17.2" x14ac:dyDescent="0.5">
      <c r="A72" s="5">
        <v>1850800312</v>
      </c>
      <c r="B72" s="6" t="s">
        <v>88</v>
      </c>
      <c r="C72" t="s">
        <v>348</v>
      </c>
      <c r="D72" t="s">
        <v>224</v>
      </c>
    </row>
    <row r="73" spans="1:4" ht="17.2" x14ac:dyDescent="0.5">
      <c r="A73" s="5">
        <v>1850300085</v>
      </c>
      <c r="B73" s="6" t="s">
        <v>89</v>
      </c>
      <c r="C73" t="s">
        <v>349</v>
      </c>
      <c r="D73" t="s">
        <v>225</v>
      </c>
    </row>
    <row r="74" spans="1:4" ht="17.2" x14ac:dyDescent="0.5">
      <c r="A74" s="5">
        <v>2871400116</v>
      </c>
      <c r="B74" s="6" t="s">
        <v>90</v>
      </c>
      <c r="C74" t="s">
        <v>350</v>
      </c>
      <c r="D74" t="s">
        <v>226</v>
      </c>
    </row>
    <row r="75" spans="1:4" ht="17.2" x14ac:dyDescent="0.5">
      <c r="A75" s="5">
        <v>2900300321</v>
      </c>
      <c r="B75" s="6" t="s">
        <v>91</v>
      </c>
      <c r="C75" t="s">
        <v>351</v>
      </c>
      <c r="D75" t="s">
        <v>227</v>
      </c>
    </row>
    <row r="76" spans="1:4" ht="17.2" x14ac:dyDescent="0.5">
      <c r="A76" s="5">
        <v>2870300008</v>
      </c>
      <c r="B76" s="6" t="s">
        <v>92</v>
      </c>
      <c r="C76" t="s">
        <v>352</v>
      </c>
      <c r="D76" t="s">
        <v>228</v>
      </c>
    </row>
    <row r="77" spans="1:4" ht="17.2" x14ac:dyDescent="0.5">
      <c r="A77" s="5">
        <v>1901200130</v>
      </c>
      <c r="B77" s="6" t="s">
        <v>93</v>
      </c>
      <c r="C77" t="s">
        <v>353</v>
      </c>
      <c r="D77" t="s">
        <v>229</v>
      </c>
    </row>
    <row r="78" spans="1:4" ht="17.2" x14ac:dyDescent="0.5">
      <c r="A78" s="5">
        <v>2860300359</v>
      </c>
      <c r="B78" s="6" t="s">
        <v>94</v>
      </c>
      <c r="C78" t="s">
        <v>354</v>
      </c>
      <c r="D78" t="s">
        <v>230</v>
      </c>
    </row>
    <row r="79" spans="1:4" ht="17.2" x14ac:dyDescent="0.5">
      <c r="A79" s="5">
        <v>2680300175</v>
      </c>
      <c r="B79" s="6" t="s">
        <v>95</v>
      </c>
      <c r="C79" t="s">
        <v>355</v>
      </c>
      <c r="D79" t="s">
        <v>231</v>
      </c>
    </row>
    <row r="80" spans="1:4" ht="17.2" x14ac:dyDescent="0.5">
      <c r="A80" s="5">
        <v>1690300388</v>
      </c>
      <c r="B80" s="6" t="s">
        <v>96</v>
      </c>
      <c r="C80" t="s">
        <v>356</v>
      </c>
      <c r="D80" t="s">
        <v>232</v>
      </c>
    </row>
    <row r="81" spans="1:4" ht="17.2" x14ac:dyDescent="0.5">
      <c r="A81" s="5">
        <v>1690300442</v>
      </c>
      <c r="B81" s="6" t="s">
        <v>97</v>
      </c>
      <c r="C81" t="s">
        <v>357</v>
      </c>
      <c r="D81" t="s">
        <v>233</v>
      </c>
    </row>
    <row r="82" spans="1:4" ht="17.2" x14ac:dyDescent="0.5">
      <c r="A82" s="5">
        <v>2800300061</v>
      </c>
      <c r="B82" s="6" t="s">
        <v>98</v>
      </c>
      <c r="C82" t="s">
        <v>358</v>
      </c>
      <c r="D82" t="s">
        <v>234</v>
      </c>
    </row>
    <row r="83" spans="1:4" ht="17.2" x14ac:dyDescent="0.5">
      <c r="A83" s="5">
        <v>2700300301</v>
      </c>
      <c r="B83" s="6" t="s">
        <v>99</v>
      </c>
      <c r="C83" t="s">
        <v>359</v>
      </c>
      <c r="D83" t="s">
        <v>235</v>
      </c>
    </row>
    <row r="84" spans="1:4" ht="17.2" x14ac:dyDescent="0.5">
      <c r="A84" s="5">
        <v>1690300322</v>
      </c>
      <c r="B84" s="6" t="s">
        <v>100</v>
      </c>
      <c r="C84" t="s">
        <v>360</v>
      </c>
      <c r="D84" t="s">
        <v>236</v>
      </c>
    </row>
    <row r="85" spans="1:4" ht="17.2" x14ac:dyDescent="0.5">
      <c r="A85" s="5">
        <v>1730300451</v>
      </c>
      <c r="B85" s="6" t="s">
        <v>101</v>
      </c>
      <c r="C85" t="s">
        <v>361</v>
      </c>
      <c r="D85" t="s">
        <v>237</v>
      </c>
    </row>
    <row r="86" spans="1:4" ht="17.2" x14ac:dyDescent="0.5">
      <c r="A86" s="5">
        <v>2780300027</v>
      </c>
      <c r="B86" s="6" t="s">
        <v>102</v>
      </c>
      <c r="C86" t="s">
        <v>362</v>
      </c>
      <c r="D86" t="s">
        <v>238</v>
      </c>
    </row>
    <row r="87" spans="1:4" ht="17.2" x14ac:dyDescent="0.5">
      <c r="A87" s="5">
        <v>2810300025</v>
      </c>
      <c r="B87" s="6" t="s">
        <v>103</v>
      </c>
      <c r="C87" t="s">
        <v>363</v>
      </c>
      <c r="D87" t="s">
        <v>239</v>
      </c>
    </row>
    <row r="88" spans="1:4" ht="17.2" x14ac:dyDescent="0.5">
      <c r="A88" s="5">
        <v>2830300078</v>
      </c>
      <c r="B88" s="6" t="s">
        <v>104</v>
      </c>
      <c r="C88" t="s">
        <v>364</v>
      </c>
      <c r="D88" t="s">
        <v>240</v>
      </c>
    </row>
    <row r="89" spans="1:4" ht="17.2" x14ac:dyDescent="0.5">
      <c r="A89" s="5">
        <v>1870300100</v>
      </c>
      <c r="B89" s="6" t="s">
        <v>105</v>
      </c>
      <c r="C89" t="s">
        <v>365</v>
      </c>
      <c r="D89" t="s">
        <v>241</v>
      </c>
    </row>
    <row r="90" spans="1:4" ht="17.2" x14ac:dyDescent="0.5">
      <c r="A90" s="5">
        <v>2870300157</v>
      </c>
      <c r="B90" s="6" t="s">
        <v>106</v>
      </c>
      <c r="C90" t="s">
        <v>366</v>
      </c>
      <c r="D90" t="s">
        <v>242</v>
      </c>
    </row>
    <row r="91" spans="1:4" ht="17.2" x14ac:dyDescent="0.5">
      <c r="A91" s="5">
        <v>2910300165</v>
      </c>
      <c r="B91" s="6" t="s">
        <v>107</v>
      </c>
      <c r="C91" t="s">
        <v>367</v>
      </c>
      <c r="D91" t="s">
        <v>243</v>
      </c>
    </row>
    <row r="92" spans="1:4" ht="17.2" x14ac:dyDescent="0.5">
      <c r="A92" s="5">
        <v>1690300603</v>
      </c>
      <c r="B92" s="6" t="s">
        <v>108</v>
      </c>
      <c r="C92" t="s">
        <v>368</v>
      </c>
      <c r="D92" t="s">
        <v>244</v>
      </c>
    </row>
    <row r="93" spans="1:4" ht="17.2" x14ac:dyDescent="0.5">
      <c r="A93" s="5">
        <v>2680300182</v>
      </c>
      <c r="B93" s="6" t="s">
        <v>109</v>
      </c>
      <c r="C93" t="s">
        <v>369</v>
      </c>
      <c r="D93" t="s">
        <v>245</v>
      </c>
    </row>
    <row r="94" spans="1:4" ht="17.2" x14ac:dyDescent="0.5">
      <c r="A94" s="5">
        <v>1690300349</v>
      </c>
      <c r="B94" s="6" t="s">
        <v>110</v>
      </c>
      <c r="C94" t="s">
        <v>370</v>
      </c>
      <c r="D94" t="s">
        <v>246</v>
      </c>
    </row>
    <row r="95" spans="1:4" ht="17.2" x14ac:dyDescent="0.5">
      <c r="A95" s="5">
        <v>2930300284</v>
      </c>
      <c r="B95" s="6" t="s">
        <v>111</v>
      </c>
      <c r="C95" t="s">
        <v>371</v>
      </c>
      <c r="D95" t="s">
        <v>247</v>
      </c>
    </row>
    <row r="96" spans="1:4" ht="17.2" x14ac:dyDescent="0.5">
      <c r="A96" s="5">
        <v>1942000040</v>
      </c>
      <c r="B96" s="6" t="s">
        <v>112</v>
      </c>
      <c r="C96" t="s">
        <v>372</v>
      </c>
      <c r="D96" t="s">
        <v>248</v>
      </c>
    </row>
    <row r="97" spans="1:4" ht="17.2" x14ac:dyDescent="0.5">
      <c r="A97" s="5">
        <v>1931000087</v>
      </c>
      <c r="B97" s="6" t="s">
        <v>113</v>
      </c>
      <c r="C97" t="s">
        <v>373</v>
      </c>
      <c r="D97" t="s">
        <v>249</v>
      </c>
    </row>
    <row r="98" spans="1:4" ht="17.2" x14ac:dyDescent="0.5">
      <c r="A98" s="5">
        <v>1960300210</v>
      </c>
      <c r="B98" s="6" t="s">
        <v>114</v>
      </c>
      <c r="C98" t="s">
        <v>374</v>
      </c>
      <c r="D98" t="s">
        <v>250</v>
      </c>
    </row>
    <row r="99" spans="1:4" ht="17.2" x14ac:dyDescent="0.5">
      <c r="A99" s="5">
        <v>1680300355</v>
      </c>
      <c r="B99" s="6" t="s">
        <v>115</v>
      </c>
      <c r="C99" t="s">
        <v>375</v>
      </c>
      <c r="D99" t="s">
        <v>251</v>
      </c>
    </row>
    <row r="100" spans="1:4" ht="17.2" x14ac:dyDescent="0.5">
      <c r="A100" s="5">
        <v>2820300034</v>
      </c>
      <c r="B100" s="6" t="s">
        <v>116</v>
      </c>
      <c r="C100" t="s">
        <v>376</v>
      </c>
      <c r="D100" t="s">
        <v>252</v>
      </c>
    </row>
    <row r="101" spans="1:4" ht="17.2" x14ac:dyDescent="0.5">
      <c r="A101" s="5">
        <v>2800300234</v>
      </c>
      <c r="B101" s="6" t="s">
        <v>117</v>
      </c>
      <c r="C101" t="s">
        <v>377</v>
      </c>
      <c r="D101" t="s">
        <v>253</v>
      </c>
    </row>
    <row r="102" spans="1:4" ht="17.2" x14ac:dyDescent="0.5">
      <c r="A102" s="5">
        <v>2000300183</v>
      </c>
      <c r="B102" s="6" t="s">
        <v>118</v>
      </c>
      <c r="C102" t="s">
        <v>378</v>
      </c>
      <c r="D102" t="s">
        <v>254</v>
      </c>
    </row>
    <row r="103" spans="1:4" ht="17.2" x14ac:dyDescent="0.5">
      <c r="A103" s="5">
        <v>1990300147</v>
      </c>
      <c r="B103" s="6" t="s">
        <v>119</v>
      </c>
      <c r="C103" t="s">
        <v>379</v>
      </c>
      <c r="D103" t="s">
        <v>255</v>
      </c>
    </row>
    <row r="104" spans="1:4" ht="17.2" x14ac:dyDescent="0.5">
      <c r="A104" s="5">
        <v>100001</v>
      </c>
      <c r="B104" s="6" t="s">
        <v>120</v>
      </c>
      <c r="C104" t="s">
        <v>380</v>
      </c>
      <c r="D104" t="s">
        <v>256</v>
      </c>
    </row>
    <row r="105" spans="1:4" ht="17.2" x14ac:dyDescent="0.5">
      <c r="A105" s="5">
        <v>1720300297</v>
      </c>
      <c r="B105" s="6" t="s">
        <v>121</v>
      </c>
      <c r="C105" t="s">
        <v>381</v>
      </c>
      <c r="D105" t="s">
        <v>257</v>
      </c>
    </row>
    <row r="106" spans="1:4" ht="17.2" x14ac:dyDescent="0.5">
      <c r="A106" s="5">
        <v>2740300117</v>
      </c>
      <c r="B106" s="6" t="s">
        <v>122</v>
      </c>
      <c r="C106" t="s">
        <v>382</v>
      </c>
      <c r="D106" t="s">
        <v>258</v>
      </c>
    </row>
    <row r="107" spans="1:4" ht="17.2" x14ac:dyDescent="0.5">
      <c r="A107" s="5">
        <v>2980300142</v>
      </c>
      <c r="B107" s="6" t="s">
        <v>123</v>
      </c>
      <c r="C107" t="s">
        <v>383</v>
      </c>
      <c r="D107" t="s">
        <v>259</v>
      </c>
    </row>
    <row r="108" spans="1:4" ht="17.2" x14ac:dyDescent="0.5">
      <c r="A108" s="5">
        <v>1750300287</v>
      </c>
      <c r="B108" s="6" t="s">
        <v>124</v>
      </c>
      <c r="C108" t="s">
        <v>384</v>
      </c>
      <c r="D108" t="s">
        <v>260</v>
      </c>
    </row>
    <row r="109" spans="1:4" ht="17.2" x14ac:dyDescent="0.5">
      <c r="A109" s="5">
        <v>2760300055</v>
      </c>
      <c r="B109" s="6" t="s">
        <v>125</v>
      </c>
      <c r="C109" t="s">
        <v>385</v>
      </c>
      <c r="D109" t="s">
        <v>261</v>
      </c>
    </row>
    <row r="110" spans="1:4" ht="17.2" x14ac:dyDescent="0.5">
      <c r="A110" s="5">
        <v>2780300025</v>
      </c>
      <c r="B110" s="6" t="s">
        <v>126</v>
      </c>
      <c r="C110" t="s">
        <v>386</v>
      </c>
      <c r="D110" t="s">
        <v>262</v>
      </c>
    </row>
    <row r="111" spans="1:4" ht="17.2" x14ac:dyDescent="0.5">
      <c r="A111" s="5">
        <v>2820300159</v>
      </c>
      <c r="B111" s="6" t="s">
        <v>127</v>
      </c>
      <c r="C111" t="s">
        <v>387</v>
      </c>
      <c r="D111" t="s">
        <v>263</v>
      </c>
    </row>
    <row r="112" spans="1:4" ht="17.2" x14ac:dyDescent="0.5">
      <c r="A112" s="5">
        <v>1850300039</v>
      </c>
      <c r="B112" s="6" t="s">
        <v>128</v>
      </c>
      <c r="C112" t="s">
        <v>388</v>
      </c>
      <c r="D112" t="s">
        <v>264</v>
      </c>
    </row>
    <row r="113" spans="1:4" ht="17.2" x14ac:dyDescent="0.5">
      <c r="A113" s="5">
        <v>2860300021</v>
      </c>
      <c r="B113" s="6" t="s">
        <v>129</v>
      </c>
      <c r="C113" t="s">
        <v>389</v>
      </c>
      <c r="D113" t="s">
        <v>265</v>
      </c>
    </row>
    <row r="114" spans="1:4" ht="17.2" x14ac:dyDescent="0.5">
      <c r="A114" s="5">
        <v>1870300055</v>
      </c>
      <c r="B114" s="6" t="s">
        <v>130</v>
      </c>
      <c r="C114" t="s">
        <v>390</v>
      </c>
      <c r="D114" t="s">
        <v>266</v>
      </c>
    </row>
    <row r="115" spans="1:4" ht="17.2" x14ac:dyDescent="0.5">
      <c r="A115" s="5">
        <v>1680300329</v>
      </c>
      <c r="B115" s="6" t="s">
        <v>131</v>
      </c>
      <c r="C115" t="s">
        <v>391</v>
      </c>
      <c r="D115" t="s">
        <v>267</v>
      </c>
    </row>
    <row r="116" spans="1:4" ht="17.2" x14ac:dyDescent="0.5">
      <c r="A116" s="5">
        <v>2910300192</v>
      </c>
      <c r="B116" s="6" t="s">
        <v>132</v>
      </c>
      <c r="C116" t="s">
        <v>392</v>
      </c>
      <c r="D116" t="s">
        <v>268</v>
      </c>
    </row>
    <row r="117" spans="1:4" ht="17.2" x14ac:dyDescent="0.5">
      <c r="A117" s="5">
        <v>2940300006</v>
      </c>
      <c r="B117" s="6" t="s">
        <v>133</v>
      </c>
      <c r="C117" t="s">
        <v>393</v>
      </c>
      <c r="D117" t="s">
        <v>269</v>
      </c>
    </row>
    <row r="118" spans="1:4" ht="17.2" x14ac:dyDescent="0.5">
      <c r="A118" s="5">
        <v>1930300052</v>
      </c>
      <c r="B118" s="6" t="s">
        <v>134</v>
      </c>
      <c r="C118" t="s">
        <v>394</v>
      </c>
      <c r="D118" t="s">
        <v>270</v>
      </c>
    </row>
    <row r="119" spans="1:4" ht="17.2" x14ac:dyDescent="0.5">
      <c r="A119" s="5">
        <v>2981400029</v>
      </c>
      <c r="B119" s="6" t="s">
        <v>135</v>
      </c>
      <c r="C119" t="s">
        <v>395</v>
      </c>
      <c r="D119" t="s">
        <v>271</v>
      </c>
    </row>
    <row r="120" spans="1:4" ht="17.2" x14ac:dyDescent="0.5">
      <c r="A120" s="5">
        <v>2960300101</v>
      </c>
      <c r="B120" s="6" t="s">
        <v>136</v>
      </c>
      <c r="C120" t="s">
        <v>396</v>
      </c>
      <c r="D120" t="s">
        <v>272</v>
      </c>
    </row>
    <row r="121" spans="1:4" ht="17.2" x14ac:dyDescent="0.5">
      <c r="A121" s="5">
        <v>1980300018</v>
      </c>
      <c r="B121" s="6" t="s">
        <v>137</v>
      </c>
      <c r="C121" t="s">
        <v>397</v>
      </c>
      <c r="D121" t="s">
        <v>273</v>
      </c>
    </row>
    <row r="122" spans="1:4" ht="17.2" x14ac:dyDescent="0.5">
      <c r="A122" s="5">
        <v>2980300044</v>
      </c>
      <c r="B122" s="6" t="s">
        <v>138</v>
      </c>
      <c r="C122" t="s">
        <v>398</v>
      </c>
      <c r="D122" t="s">
        <v>274</v>
      </c>
    </row>
    <row r="123" spans="1:4" ht="17.2" x14ac:dyDescent="0.5">
      <c r="A123" s="5">
        <v>1960300052</v>
      </c>
      <c r="B123" s="6" t="s">
        <v>139</v>
      </c>
      <c r="C123" t="s">
        <v>399</v>
      </c>
      <c r="D123" t="s">
        <v>275</v>
      </c>
    </row>
    <row r="124" spans="1:4" ht="17.2" x14ac:dyDescent="0.5">
      <c r="A124" s="5">
        <v>2960300120</v>
      </c>
      <c r="B124" s="6" t="s">
        <v>140</v>
      </c>
      <c r="C124" t="s">
        <v>400</v>
      </c>
      <c r="D124" t="s">
        <v>276</v>
      </c>
    </row>
    <row r="125" spans="1:4" ht="17.2" x14ac:dyDescent="0.5">
      <c r="A125" s="5">
        <v>100002</v>
      </c>
      <c r="B125" s="6" t="s">
        <v>141</v>
      </c>
      <c r="C125" t="s">
        <v>401</v>
      </c>
      <c r="D125" t="s">
        <v>277</v>
      </c>
    </row>
  </sheetData>
  <pageMargins left="0.7" right="0.7" top="0.75" bottom="0.75" header="0.3" footer="0.3"/>
  <pageSetup paperSize="8" orientation="portrait" horizontalDpi="1200" verticalDpi="1200" r:id="rId1"/>
  <ignoredErrors>
    <ignoredError sqref="E1:K4 A1:C1 E6:K45 F5:K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.6" x14ac:dyDescent="0.35"/>
  <sheetData/>
  <pageMargins left="0.7" right="0.7" top="0.75" bottom="0.75" header="0.3" footer="0.3"/>
  <ignoredErrors>
    <ignoredError sqref="A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chart</vt:lpstr>
      <vt:lpstr>people</vt:lpstr>
      <vt:lpstr>assignment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2026-05-21T03:12:08Z</dcterms:modified>
</cp:coreProperties>
</file>