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AFFC37E7-CA41-46A7-B73F-4A1F9180871C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6" i="2" l="1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" i="2"/>
  <c r="F2" i="1"/>
  <c r="D55" i="1"/>
  <c r="D51" i="1"/>
  <c r="D52" i="1"/>
  <c r="D53" i="1"/>
  <c r="D54" i="1"/>
  <c r="D50" i="1"/>
  <c r="A104" i="1"/>
  <c r="A105" i="1"/>
  <c r="D105" i="1"/>
  <c r="D104" i="1"/>
  <c r="F104" i="1"/>
  <c r="F105" i="1"/>
  <c r="A103" i="1"/>
  <c r="D103" i="1"/>
  <c r="F103" i="1"/>
  <c r="A100" i="1"/>
  <c r="A101" i="1"/>
  <c r="A102" i="1" s="1"/>
  <c r="D101" i="1"/>
  <c r="D102" i="1"/>
  <c r="D100" i="1"/>
  <c r="F100" i="1"/>
  <c r="F101" i="1"/>
  <c r="F102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D46" i="1"/>
  <c r="D47" i="1"/>
  <c r="D45" i="1"/>
  <c r="F45" i="1"/>
  <c r="F46" i="1"/>
  <c r="F47" i="1"/>
  <c r="F98" i="1"/>
  <c r="F99" i="1"/>
  <c r="F92" i="1"/>
  <c r="F93" i="1"/>
  <c r="F94" i="1"/>
  <c r="F95" i="1"/>
  <c r="F96" i="1"/>
  <c r="F97" i="1"/>
  <c r="F81" i="1"/>
  <c r="F82" i="1"/>
  <c r="F83" i="1"/>
  <c r="F84" i="1"/>
  <c r="F85" i="1"/>
  <c r="F86" i="1"/>
  <c r="F87" i="1"/>
  <c r="F88" i="1"/>
  <c r="F89" i="1"/>
  <c r="F90" i="1"/>
  <c r="F91" i="1"/>
  <c r="F74" i="1"/>
  <c r="F75" i="1"/>
  <c r="F76" i="1"/>
  <c r="F77" i="1"/>
  <c r="F78" i="1"/>
  <c r="F79" i="1"/>
  <c r="F80" i="1"/>
  <c r="F63" i="1"/>
  <c r="F64" i="1"/>
  <c r="F65" i="1"/>
  <c r="F66" i="1"/>
  <c r="F67" i="1"/>
  <c r="F68" i="1"/>
  <c r="F69" i="1"/>
  <c r="F70" i="1"/>
  <c r="F71" i="1"/>
  <c r="F72" i="1"/>
  <c r="F73" i="1"/>
  <c r="F39" i="1"/>
  <c r="F40" i="1"/>
  <c r="F41" i="1"/>
  <c r="F42" i="1"/>
  <c r="F43" i="1"/>
  <c r="F55" i="1"/>
  <c r="F56" i="1"/>
  <c r="F57" i="1"/>
  <c r="F58" i="1"/>
  <c r="F59" i="1"/>
  <c r="F60" i="1"/>
  <c r="F61" i="1"/>
  <c r="F62" i="1"/>
  <c r="F30" i="1"/>
  <c r="F31" i="1"/>
  <c r="F32" i="1"/>
  <c r="F33" i="1"/>
  <c r="F34" i="1"/>
  <c r="F8" i="1"/>
  <c r="F9" i="1"/>
  <c r="F10" i="1"/>
  <c r="F11" i="1"/>
  <c r="F5" i="1"/>
  <c r="F6" i="1"/>
  <c r="F7" i="1"/>
  <c r="F3" i="1"/>
  <c r="F4" i="1"/>
  <c r="D4" i="1"/>
  <c r="D3" i="1"/>
  <c r="A3" i="1"/>
  <c r="D20" i="1" s="1"/>
  <c r="F22" i="1"/>
  <c r="F23" i="1"/>
  <c r="F24" i="1"/>
  <c r="F25" i="1"/>
  <c r="F26" i="1"/>
  <c r="F14" i="1"/>
  <c r="F15" i="1"/>
  <c r="F16" i="1"/>
  <c r="F17" i="1"/>
  <c r="F18" i="1"/>
  <c r="F19" i="1"/>
  <c r="F12" i="1"/>
  <c r="F13" i="1"/>
  <c r="F20" i="1"/>
  <c r="F21" i="1"/>
  <c r="F27" i="1"/>
  <c r="F28" i="1"/>
  <c r="F29" i="1"/>
  <c r="F35" i="1"/>
  <c r="F36" i="1"/>
  <c r="F37" i="1"/>
  <c r="F38" i="1"/>
  <c r="F44" i="1"/>
  <c r="F48" i="1"/>
  <c r="F49" i="1"/>
  <c r="F51" i="1"/>
  <c r="F52" i="1"/>
  <c r="F53" i="1"/>
  <c r="F54" i="1"/>
  <c r="F50" i="1"/>
  <c r="D7" i="1" l="1"/>
  <c r="D5" i="1"/>
  <c r="D6" i="1"/>
  <c r="A4" i="1"/>
  <c r="D12" i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D8" i="1"/>
  <c r="D10" i="1"/>
  <c r="D11" i="1"/>
  <c r="D9" i="1"/>
  <c r="D35" i="1"/>
  <c r="D27" i="1"/>
  <c r="A29" i="1" l="1"/>
  <c r="D30" i="1"/>
  <c r="D13" i="1"/>
  <c r="A30" i="1" l="1"/>
  <c r="A31" i="1" s="1"/>
  <c r="A32" i="1" s="1"/>
  <c r="A33" i="1" s="1"/>
  <c r="A34" i="1" s="1"/>
  <c r="A35" i="1" s="1"/>
  <c r="A36" i="1" s="1"/>
  <c r="A37" i="1" s="1"/>
  <c r="A38" i="1" s="1"/>
  <c r="D32" i="1"/>
  <c r="D33" i="1"/>
  <c r="D34" i="1"/>
  <c r="D31" i="1"/>
  <c r="D14" i="1"/>
  <c r="D15" i="1"/>
  <c r="D18" i="1"/>
  <c r="D19" i="1"/>
  <c r="D16" i="1"/>
  <c r="D17" i="1"/>
  <c r="D39" i="1" l="1"/>
  <c r="D40" i="1"/>
  <c r="A39" i="1"/>
  <c r="D41" i="1"/>
  <c r="D43" i="1"/>
  <c r="D42" i="1"/>
  <c r="D21" i="1"/>
  <c r="D65" i="1" l="1"/>
  <c r="D66" i="1"/>
  <c r="D67" i="1"/>
  <c r="D68" i="1"/>
  <c r="D69" i="1"/>
  <c r="D70" i="1"/>
  <c r="D71" i="1"/>
  <c r="D72" i="1"/>
  <c r="D73" i="1"/>
  <c r="D63" i="1"/>
  <c r="A40" i="1"/>
  <c r="D64" i="1"/>
  <c r="D23" i="1"/>
  <c r="D24" i="1"/>
  <c r="D26" i="1"/>
  <c r="D22" i="1"/>
  <c r="D25" i="1"/>
  <c r="D79" i="1" l="1"/>
  <c r="D80" i="1"/>
  <c r="D74" i="1"/>
  <c r="D75" i="1"/>
  <c r="D76" i="1"/>
  <c r="A41" i="1"/>
  <c r="D77" i="1"/>
  <c r="D78" i="1"/>
  <c r="D38" i="1"/>
  <c r="D29" i="1"/>
  <c r="D44" i="1"/>
  <c r="D37" i="1"/>
  <c r="D28" i="1"/>
  <c r="D86" i="1" l="1"/>
  <c r="A42" i="1"/>
  <c r="D87" i="1"/>
  <c r="D88" i="1"/>
  <c r="D89" i="1"/>
  <c r="D90" i="1"/>
  <c r="D91" i="1"/>
  <c r="D81" i="1"/>
  <c r="D82" i="1"/>
  <c r="D83" i="1"/>
  <c r="D84" i="1"/>
  <c r="D85" i="1"/>
  <c r="D36" i="1"/>
  <c r="D92" i="1" l="1"/>
  <c r="A43" i="1"/>
  <c r="D93" i="1"/>
  <c r="D94" i="1"/>
  <c r="D95" i="1"/>
  <c r="D96" i="1"/>
  <c r="D97" i="1"/>
  <c r="D49" i="1"/>
  <c r="D48" i="1"/>
  <c r="D99" i="1" l="1"/>
  <c r="A44" i="1"/>
  <c r="D98" i="1"/>
  <c r="D60" i="1" l="1"/>
  <c r="D62" i="1"/>
  <c r="D59" i="1"/>
  <c r="D56" i="1"/>
  <c r="D57" i="1"/>
  <c r="D61" i="1"/>
  <c r="D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<sst xmlns="http://schemas.openxmlformats.org/spreadsheetml/2006/main" count="2484" uniqueCount="809">
  <si>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</si>
  <si>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</si>
  <si>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</si>
  <si>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</si>
  <si>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</si>
  <si>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</si>
  <si>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</si>
  <si>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</si>
  <si>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</si>
  <si>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</si>
  <si>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</si>
  <si>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</si>
  <si>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</si>
  <si>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</si>
  <si>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</si>
  <si>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</si>
  <si>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</si>
  <si>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</si>
  <si>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</si>
  <si>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</si>
  <si>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</si>
  <si>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</si>
  <si>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</si>
  <si>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</si>
  <si>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</si>
  <si>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</si>
  <si>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</si>
  <si>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</si>
  <si>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</si>
  <si>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</si>
  <si>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</si>
  <si>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</si>
  <si>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</si>
  <si>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</si>
  <si>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</si>
  <si>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</si>
  <si>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</si>
  <si>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</si>
  <si>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</si>
  <si>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</si>
  <si>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</si>
  <si>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</si>
  <si>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</si>
  <si>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</si>
  <si>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</si>
  <si>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</si>
  <si>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</si>
  <si>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</si>
  <si>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</si>
  <si>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</si>
  <si>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</si>
  <si>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</si>
  <si>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</si>
  <si>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</si>
  <si>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</si>
  <si>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</si>
  <si>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</si>
  <si>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</si>
  <si>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</si>
  <si>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</si>
  <si>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</si>
  <si>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</si>
  <si>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</si>
  <si>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</si>
  <si>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</si>
  <si>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</si>
  <si>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</si>
  <si>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</si>
  <si>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</si>
  <si>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</si>
  <si>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</si>
  <si>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</si>
  <si>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</si>
  <si>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</si>
  <si>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</si>
  <si>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</si>
  <si>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</si>
  <si>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</si>
  <si>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</si>
  <si>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</si>
  <si>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</si>
  <si>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</si>
  <si>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</si>
  <si>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</si>
  <si>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</si>
  <si>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</si>
  <si>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</si>
  <si>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</si>
  <si>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</si>
  <si>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</si>
  <si>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</si>
  <si>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</si>
  <si>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</si>
  <si>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</si>
  <si>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</si>
  <si>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</si>
  <si>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</si>
  <si>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</si>
  <si>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</si>
  <si>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</si>
  <si>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</si>
  <si>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</si>
  <si>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</si>
  <si>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</si>
  <si>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</si>
  <si>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</si>
  <si>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</si>
  <si>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</si>
  <si>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</si>
  <si>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</si>
  <si>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</si>
  <si>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</si>
  <si>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</si>
  <si>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</si>
  <si>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</si>
  <si>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</si>
  <si>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</si>
  <si>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</si>
  <si>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</si>
  <si>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</si>
  <si>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</si>
  <si>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</si>
  <si>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</si>
  <si>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</si>
  <si>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</si>
  <si>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</si>
  <si>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</si>
  <si>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</si>
  <si>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</si>
  <si>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</si>
  <si>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</si>
  <si>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</si>
  <si>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</si>
  <si>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</si>
  <si>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</si>
  <si>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</si>
  <si>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</si>
  <si>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</si>
  <si>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</si>
  <si>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</si>
  <si>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</si>
  <si>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</si>
  <si>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</si>
  <si>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</si>
  <si>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</si>
  <si>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</si>
  <si>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</si>
  <si>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</si>
  <si>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</si>
  <si>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</si>
  <si>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</si>
  <si>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</si>
  <si>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</si>
  <si>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</si>
  <si>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</si>
  <si>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</si>
  <si>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</si>
  <si>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</si>
  <si>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</si>
  <si>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</si>
  <si>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</si>
  <si>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</si>
  <si>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</si>
  <si>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</si>
  <si>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</si>
  <si>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</si>
  <si>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</si>
  <si>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</si>
  <si>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</si>
  <si>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</si>
  <si>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</si>
  <si>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</si>
  <si>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</si>
  <si>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</si>
  <si>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</si>
  <si>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</si>
  <si>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</si>
  <si>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</si>
  <si>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</si>
  <si>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</si>
  <si>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</si>
  <si>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</si>
  <si>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</si>
  <si>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</si>
  <si>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</si>
  <si>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</si>
  <si>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</si>
  <si>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</si>
  <si>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</si>
  <si>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</si>
  <si>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</si>
  <si>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</si>
  <si>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</si>
  <si>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</si>
  <si>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</si>
  <si>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</si>
  <si>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</si>
  <si>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</si>
  <si>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</si>
  <si>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</si>
  <si>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</si>
  <si>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</si>
  <si>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</si>
  <si>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</si>
  <si>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</si>
  <si>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</si>
  <si>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</si>
  <si>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</si>
  <si>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</si>
  <si>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</si>
  <si>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</si>
  <si>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</si>
  <si>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</si>
  <si>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</si>
  <si>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</si>
  <si>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</si>
  <si>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</si>
  <si>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</si>
  <si>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</si>
  <si>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</si>
  <si>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</si>
  <si>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</si>
  <si>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</si>
  <si>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</si>
  <si>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</si>
  <si>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</si>
  <si>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</si>
  <si>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</si>
  <si>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</si>
  <si>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</si>
  <si>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</si>
  <si>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</si>
  <si>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</si>
  <si>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</si>
  <si>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</si>
  <si>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</si>
  <si>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</si>
  <si>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</si>
  <si>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</si>
  <si>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</si>
  <si>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</si>
  <si>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</si>
  <si>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</si>
  <si>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</si>
  <si>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</si>
  <si>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</si>
  <si>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</si>
  <si>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</si>
  <si>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</si>
  <si>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</si>
  <si>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</si>
  <si>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</si>
  <si>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</si>
  <si>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</si>
  <si>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</si>
  <si>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</si>
  <si>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</si>
  <si>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</si>
  <si>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</si>
  <si>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</si>
  <si>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</si>
  <si>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</si>
  <si>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</si>
  <si>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</si>
  <si>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</si>
  <si>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</si>
  <si>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</si>
  <si>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</si>
  <si>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</si>
  <si>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</si>
  <si>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</si>
  <si>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</si>
  <si>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</si>
  <si>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</si>
  <si>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</si>
  <si>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</si>
  <si>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</si>
  <si>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</si>
  <si>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</si>
  <si>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</si>
  <si>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</si>
  <si>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</si>
  <si>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</si>
  <si>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</si>
  <si>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</si>
  <si>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</si>
  <si>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</si>
  <si>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</si>
  <si>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</si>
  <si>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</si>
  <si>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</si>
  <si>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</si>
  <si>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</si>
  <si>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</si>
  <si>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</si>
  <si>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</si>
  <si>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</si>
  <si>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</si>
  <si>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</si>
  <si>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</si>
  <si>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</si>
  <si>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</si>
  <si>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</si>
  <si>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</si>
  <si>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</si>
  <si>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</si>
  <si>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</si>
  <si>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</si>
  <si>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</si>
  <si>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</si>
  <si>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</si>
  <si>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</si>
  <si>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</si>
  <si>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</si>
  <si>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</si>
  <si>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</si>
  <si>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</si>
  <si>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</si>
  <si>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</si>
  <si>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</si>
  <si>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</si>
  <si>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</si>
  <si>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</si>
  <si>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</si>
  <si>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</si>
  <si>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</si>
  <si>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</si>
  <si>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</si>
  <si>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</si>
  <si>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</si>
  <si>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</si>
  <si>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</si>
  <si>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</si>
  <si>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</si>
  <si>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</si>
  <si>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</si>
  <si>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</si>
  <si>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</si>
  <si>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</si>
  <si>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</si>
  <si>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</si>
  <si>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</si>
  <si>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</si>
  <si>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</si>
  <si>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</si>
  <si>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</si>
  <si>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</si>
  <si>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</si>
  <si>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</si>
  <si>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</si>
  <si>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</si>
  <si>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</si>
  <si>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</si>
  <si>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</si>
  <si>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</si>
  <si>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</si>
  <si>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</si>
  <si>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</si>
  <si>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</si>
  <si>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</si>
  <si>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</si>
  <si>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</si>
  <si>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</si>
  <si>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</si>
  <si>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</si>
  <si>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</si>
  <si>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</si>
  <si>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</si>
  <si>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</si>
  <si>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</si>
  <si>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</si>
  <si>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</si>
  <si>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</si>
  <si>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</si>
  <si>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</si>
  <si>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</si>
  <si>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</si>
  <si>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</si>
  <si>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</si>
  <si>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</si>
  <si>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</si>
  <si>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</si>
  <si>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</si>
  <si>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</si>
  <si>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</si>
  <si>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</si>
  <si>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</si>
  <si>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</si>
  <si>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</si>
  <si>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</si>
  <si>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</si>
  <si>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</si>
  <si>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</si>
  <si>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</si>
  <si>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</si>
  <si>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</si>
  <si>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</si>
  <si>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</si>
  <si>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</si>
  <si>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</si>
  <si>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</si>
  <si>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</si>
  <si>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</si>
  <si>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</si>
  <si>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</si>
  <si>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</si>
  <si>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</si>
  <si>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</si>
  <si>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</si>
  <si>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</si>
  <si>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</si>
  <si>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</si>
  <si>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</si>
  <si>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</si>
  <si>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</si>
  <si>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</si>
  <si>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</si>
  <si>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</si>
  <si>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</si>
  <si>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</si>
  <si>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</si>
  <si>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</si>
  <si>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</si>
  <si>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</si>
  <si>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</si>
  <si>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</si>
  <si>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</si>
  <si>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</si>
  <si>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</si>
  <si>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</si>
  <si>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</si>
  <si>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</si>
  <si>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</si>
  <si>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</si>
  <si>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</si>
  <si>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</si>
  <si>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</si>
  <si>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</si>
  <si>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</si>
  <si>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</si>
  <si>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</si>
  <si>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</si>
  <si>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</si>
  <si>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</si>
  <si>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</si>
  <si>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</si>
  <si>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</si>
  <si>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</si>
  <si>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</si>
  <si>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</si>
  <si>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</si>
  <si>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</si>
  <si>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</si>
  <si>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</si>
  <si>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</si>
  <si>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</si>
  <si>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</si>
  <si>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</si>
  <si>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</si>
  <si>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</si>
  <si>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</si>
  <si>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</si>
  <si>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</si>
  <si>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</si>
  <si>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</si>
  <si>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</si>
  <si>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</si>
  <si>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</si>
  <si>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</si>
  <si>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</si>
  <si>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</si>
  <si>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</si>
  <si>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</si>
  <si>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</si>
  <si>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</si>
  <si>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</si>
  <si>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</si>
  <si>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</si>
  <si>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</si>
  <si>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</si>
  <si>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</si>
  <si>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</si>
  <si>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</si>
  <si>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</si>
  <si>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</si>
  <si>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</si>
  <si>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</si>
  <si>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</si>
  <si>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</si>
  <si>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</si>
  <si>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</si>
  <si>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</si>
  <si>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</si>
  <si>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</si>
  <si>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</si>
  <si>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</si>
  <si>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</si>
  <si>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</si>
  <si>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</si>
  <si>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</si>
  <si>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</si>
  <si>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</si>
  <si>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</si>
  <si>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</si>
  <si>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</si>
  <si>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</si>
  <si>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</si>
  <si>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</si>
  <si>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</si>
  <si>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</si>
  <si>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</si>
  <si>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</si>
  <si>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</si>
  <si>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</si>
  <si>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</si>
  <si>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</si>
  <si>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</si>
  <si>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</si>
  <si>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</si>
  <si>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</si>
  <si>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</si>
  <si>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</si>
  <si>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</si>
  <si>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</si>
  <si>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</si>
  <si>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</si>
  <si>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</si>
  <si>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</si>
  <si>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</si>
  <si>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</si>
  <si>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</si>
  <si>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</si>
  <si>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</si>
  <si>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</si>
  <si>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</si>
  <si>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</si>
  <si>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</si>
  <si>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</si>
  <si>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</si>
  <si>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</si>
  <si>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</si>
  <si>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</si>
  <si>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</si>
  <si>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</si>
  <si>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</si>
  <si>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</si>
  <si>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</si>
  <si>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</si>
  <si>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</si>
  <si>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</si>
  <si>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</si>
  <si>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</si>
  <si>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</si>
  <si>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</si>
  <si>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</si>
  <si>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</si>
  <si>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</si>
  <si>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</si>
  <si>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</si>
  <si>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</si>
  <si>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</si>
  <si>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</si>
  <si>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</si>
  <si>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</si>
  <si>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</si>
  <si>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</si>
  <si>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</si>
  <si>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</si>
  <si>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</si>
  <si>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</si>
  <si>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</si>
  <si>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</si>
  <si>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</si>
  <si>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</si>
  <si>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</si>
  <si>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</si>
  <si>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</si>
  <si>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</si>
  <si>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</si>
  <si>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</si>
  <si>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</si>
  <si>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</si>
  <si>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</si>
  <si>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</si>
  <si>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</si>
  <si>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</si>
  <si>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</si>
  <si>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</si>
  <si>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</si>
  <si>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</si>
  <si>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</si>
  <si>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</si>
  <si>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</si>
  <si>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</si>
  <si>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</si>
  <si>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</si>
  <si>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</si>
  <si>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</si>
  <si>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</si>
  <si>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</si>
  <si>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</si>
  <si>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</si>
  <si>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</si>
  <si>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</si>
  <si>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</si>
  <si>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</si>
  <si>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</si>
  <si>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</si>
  <si>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</si>
  <si>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</si>
  <si>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</si>
  <si>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</si>
  <si>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</si>
  <si>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</si>
  <si>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</si>
  <si>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</si>
  <si>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</si>
  <si>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</si>
  <si>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</si>
  <si>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</si>
  <si>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</si>
  <si>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</si>
  <si>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</si>
  <si>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</si>
  <si>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</si>
  <si>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</si>
  <si>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</si>
  <si>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</si>
  <si>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</si>
  <si>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</si>
  <si>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</si>
  <si>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</si>
  <si>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</si>
  <si>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</si>
  <si>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</si>
  <si>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</si>
  <si>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</si>
  <si>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</si>
  <si>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</si>
  <si>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</si>
  <si>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</si>
  <si>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</si>
  <si>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</si>
  <si>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</si>
  <si>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</si>
  <si>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</si>
  <si>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</si>
  <si>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</si>
  <si>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</si>
  <si>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</si>
  <si>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</si>
  <si>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</si>
  <si>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</si>
  <si>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</si>
  <si>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</si>
  <si>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</si>
  <si>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</si>
  <si>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</si>
  <si>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</si>
  <si>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</si>
  <si>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</si>
  <si>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</si>
  <si>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</si>
  <si>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</si>
  <si>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</si>
  <si>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</si>
  <si>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</si>
  <si>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</si>
  <si>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</si>
  <si>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</si>
  <si>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</si>
  <si>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</si>
  <si>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</si>
  <si>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</si>
  <si>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</si>
  <si>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</si>
  <si>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</si>
  <si>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</si>
  <si>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</si>
  <si>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</si>
  <si>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</si>
  <si>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</si>
  <si>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</si>
  <si>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</si>
  <si>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</si>
  <si>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</si>
  <si>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</si>
  <si>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</si>
  <si>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</si>
  <si>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</si>
  <si>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</si>
  <si>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</si>
  <si>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</si>
  <si>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</si>
  <si>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</si>
  <si>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</si>
  <si>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</si>
  <si>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</si>
  <si>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</si>
  <si>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</si>
  <si>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</si>
  <si>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</si>
  <si>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</si>
  <si>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</si>
  <si>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</si>
  <si>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</si>
  <si>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</si>
  <si>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</si>
  <si>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</si>
  <si>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</si>
  <si>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</si>
  <si>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</si>
  <si>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</si>
  <si>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</si>
  <si>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</si>
  <si>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</si>
  <si>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</si>
  <si>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</si>
  <si>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</si>
  <si>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</si>
  <si>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</si>
  <si>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</si>
  <si>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</si>
  <si>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</si>
  <si>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</si>
  <si>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</si>
  <si>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</si>
  <si>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</si>
  <si>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</si>
  <si>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</si>
  <si>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</si>
  <si>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</si>
  <si>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</si>
  <si>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</si>
  <si>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</si>
  <si>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</si>
  <si>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</si>
  <si>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</si>
  <si>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</si>
  <si>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</si>
  <si>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</si>
  <si>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</si>
  <si>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</si>
  <si>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</si>
  <si>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</si>
  <si>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</si>
  <si>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</si>
  <si>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</si>
  <si>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</si>
  <si>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</si>
  <si>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</si>
  <si>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</si>
  <si>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</si>
  <si>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</si>
  <si>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</si>
  <si>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</si>
  <si>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</si>
  <si>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</si>
  <si>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</si>
  <si>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</si>
  <si>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</si>
  <si>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</si>
  <si>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</si>
  <si>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</si>
  <si>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</si>
  <si>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</si>
  <si>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</si>
  <si>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</si>
  <si>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</si>
  <si>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</si>
  <si>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</si>
  <si>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</si>
  <si>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Bun Chansokunthea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</si>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</sst>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abSelected="1" topLeftCell="C16" workbookViewId="0">
      <selection activeCell="G23" sqref="G23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403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70" si="0">A3+1</f>
        <v>3</v>
      </c>
      <c r="B4" s="1" t="s">
        <v>403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142</v>
      </c>
      <c r="D5" s="1">
        <f>$A$3</f>
        <v>2</v>
      </c>
      <c r="E5" s="1" t="s">
        <v>143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142</v>
      </c>
      <c r="D6" s="1">
        <f t="shared" ref="D6:D7" si="1">$A$3</f>
        <v>2</v>
      </c>
      <c r="E6" s="1" t="s">
        <v>143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142</v>
      </c>
      <c r="D7" s="1">
        <f t="shared" si="1"/>
        <v>2</v>
      </c>
      <c r="E7" s="1" t="s">
        <v>143</v>
      </c>
      <c r="F7" s="3">
        <f>INDEX(people!$A$2:$A$125, MATCH(G7,people!$B$2:$B$125, 0))</f>
        <v>1931000087</v>
      </c>
      <c r="G7" s="1" t="s">
        <v>112</v>
      </c>
    </row>
    <row r="8" spans="1:7" x14ac:dyDescent="0.6">
      <c r="A8" s="2">
        <f t="shared" si="0"/>
        <v>7</v>
      </c>
      <c r="B8" s="1" t="s">
        <v>142</v>
      </c>
      <c r="D8" s="1">
        <f>$A$4</f>
        <v>3</v>
      </c>
      <c r="E8" s="1" t="s">
        <v>143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142</v>
      </c>
      <c r="D9" s="1">
        <f t="shared" ref="D9:D11" si="2">$A$4</f>
        <v>3</v>
      </c>
      <c r="E9" s="1" t="s">
        <v>143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142</v>
      </c>
      <c r="D10" s="1">
        <f t="shared" si="2"/>
        <v>3</v>
      </c>
      <c r="E10" s="1" t="s">
        <v>143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142</v>
      </c>
      <c r="D11" s="1">
        <f t="shared" si="2"/>
        <v>3</v>
      </c>
      <c r="E11" s="1" t="s">
        <v>143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404</v>
      </c>
      <c r="C12" s="1" t="s">
        <v>7</v>
      </c>
      <c r="D12" s="1">
        <f>A3</f>
        <v>2</v>
      </c>
      <c r="E12" s="1" t="s">
        <v>8</v>
      </c>
      <c r="F12" s="3">
        <f>INDEX(people!$A$2:$A$125, MATCH(G12,people!$B$2:$B$125, 0))</f>
        <v>2680300182</v>
      </c>
      <c r="G12" s="1" t="s">
        <v>108</v>
      </c>
    </row>
    <row r="13" spans="1:7" x14ac:dyDescent="0.6">
      <c r="A13" s="2">
        <f t="shared" si="0"/>
        <v>12</v>
      </c>
      <c r="B13" s="1" t="s">
        <v>405</v>
      </c>
      <c r="C13" s="1" t="s">
        <v>7</v>
      </c>
      <c r="D13" s="1">
        <f>A12</f>
        <v>11</v>
      </c>
      <c r="E13" s="1" t="s">
        <v>8</v>
      </c>
      <c r="F13" s="3">
        <f>INDEX(people!$A$2:$A$125, MATCH(G13,people!$B$2:$B$125, 0))</f>
        <v>1960300210</v>
      </c>
      <c r="G13" s="1" t="s">
        <v>113</v>
      </c>
    </row>
    <row r="14" spans="1:7" x14ac:dyDescent="0.6">
      <c r="A14" s="2">
        <f t="shared" si="0"/>
        <v>13</v>
      </c>
      <c r="B14" s="1" t="s">
        <v>141</v>
      </c>
      <c r="D14" s="1">
        <f>A13</f>
        <v>12</v>
      </c>
      <c r="E14" s="1" t="s">
        <v>8</v>
      </c>
      <c r="F14" s="3">
        <f>INDEX(people!$A$2:$A$125, MATCH(G14,people!$B$2:$B$125, 0))</f>
        <v>1680300331</v>
      </c>
      <c r="G14" s="1" t="s">
        <v>23</v>
      </c>
    </row>
    <row r="15" spans="1:7" x14ac:dyDescent="0.6">
      <c r="A15" s="2">
        <f t="shared" si="0"/>
        <v>14</v>
      </c>
      <c r="B15" s="1" t="s">
        <v>141</v>
      </c>
      <c r="D15" s="1">
        <f>A13</f>
        <v>12</v>
      </c>
      <c r="E15" s="1" t="s">
        <v>8</v>
      </c>
      <c r="F15" s="3">
        <f>INDEX(people!$A$2:$A$125, MATCH(G15,people!$B$2:$B$125, 0))</f>
        <v>2800300234</v>
      </c>
      <c r="G15" s="1" t="s">
        <v>116</v>
      </c>
    </row>
    <row r="16" spans="1:7" x14ac:dyDescent="0.6">
      <c r="A16" s="2">
        <f t="shared" si="0"/>
        <v>15</v>
      </c>
      <c r="B16" s="1" t="s">
        <v>141</v>
      </c>
      <c r="D16" s="1">
        <f>A13</f>
        <v>12</v>
      </c>
      <c r="E16" s="1" t="s">
        <v>8</v>
      </c>
      <c r="F16" s="3">
        <f>INDEX(people!$A$2:$A$125, MATCH(G16,people!$B$2:$B$125, 0))</f>
        <v>1680300355</v>
      </c>
      <c r="G16" s="1" t="s">
        <v>114</v>
      </c>
    </row>
    <row r="17" spans="1:7" x14ac:dyDescent="0.6">
      <c r="A17" s="2">
        <f t="shared" si="0"/>
        <v>16</v>
      </c>
      <c r="B17" s="1" t="s">
        <v>141</v>
      </c>
      <c r="D17" s="1">
        <f>A13</f>
        <v>12</v>
      </c>
      <c r="E17" s="1" t="s">
        <v>8</v>
      </c>
      <c r="F17" s="3">
        <f>INDEX(people!$A$2:$A$125, MATCH(G17,people!$B$2:$B$125, 0))</f>
        <v>2800300061</v>
      </c>
      <c r="G17" s="1" t="s">
        <v>97</v>
      </c>
    </row>
    <row r="18" spans="1:7" x14ac:dyDescent="0.6">
      <c r="A18" s="2">
        <f t="shared" si="0"/>
        <v>17</v>
      </c>
      <c r="B18" s="1" t="s">
        <v>141</v>
      </c>
      <c r="D18" s="1">
        <f>A13</f>
        <v>12</v>
      </c>
      <c r="E18" s="1" t="s">
        <v>8</v>
      </c>
      <c r="F18" s="3">
        <f>INDEX(people!$A$2:$A$125, MATCH(G18,people!$B$2:$B$125, 0))</f>
        <v>100001</v>
      </c>
      <c r="G18" s="1" t="s">
        <v>119</v>
      </c>
    </row>
    <row r="19" spans="1:7" x14ac:dyDescent="0.6">
      <c r="A19" s="2">
        <f t="shared" si="0"/>
        <v>18</v>
      </c>
      <c r="B19" s="1" t="s">
        <v>141</v>
      </c>
      <c r="D19" s="1">
        <f>A13</f>
        <v>12</v>
      </c>
      <c r="E19" s="1" t="s">
        <v>8</v>
      </c>
      <c r="F19" s="3">
        <f>INDEX(people!$A$2:$A$125, MATCH(G19,people!$B$2:$B$125, 0))</f>
        <v>100002</v>
      </c>
      <c r="G19" s="1" t="s">
        <v>140</v>
      </c>
    </row>
    <row r="20" spans="1:7" x14ac:dyDescent="0.6">
      <c r="A20" s="2">
        <f t="shared" si="0"/>
        <v>19</v>
      </c>
      <c r="B20" s="1" t="s">
        <v>406</v>
      </c>
      <c r="D20" s="1">
        <f>A3</f>
        <v>2</v>
      </c>
      <c r="E20" s="1" t="s">
        <v>8</v>
      </c>
      <c r="F20" s="3">
        <f>INDEX(people!$A$2:$A$125, MATCH(G20,people!$B$2:$B$125, 0))</f>
        <v>1800300530</v>
      </c>
      <c r="G20" s="1" t="s">
        <v>21</v>
      </c>
    </row>
    <row r="21" spans="1:7" x14ac:dyDescent="0.6">
      <c r="A21" s="2">
        <f t="shared" si="0"/>
        <v>20</v>
      </c>
      <c r="B21" s="1" t="s">
        <v>407</v>
      </c>
      <c r="D21" s="1">
        <f>A20</f>
        <v>19</v>
      </c>
      <c r="E21" s="1" t="s">
        <v>8</v>
      </c>
      <c r="F21" s="3">
        <f>INDEX(people!$A$2:$A$125, MATCH(G21,people!$B$2:$B$125, 0))</f>
        <v>1860300283</v>
      </c>
      <c r="G21" s="1" t="s">
        <v>690</v>
      </c>
    </row>
    <row r="22" spans="1:7" x14ac:dyDescent="0.6">
      <c r="A22" s="2">
        <f t="shared" si="0"/>
        <v>21</v>
      </c>
      <c r="B22" s="1" t="s">
        <v>141</v>
      </c>
      <c r="D22" s="1">
        <f>$A$21</f>
        <v>20</v>
      </c>
      <c r="E22" s="1" t="s">
        <v>8</v>
      </c>
      <c r="F22" s="3">
        <f>INDEX(people!$A$2:$A$125, MATCH(G22,people!$B$2:$B$125, 0))</f>
        <v>1920300193</v>
      </c>
      <c r="G22" s="1" t="s">
        <v>52</v>
      </c>
    </row>
    <row r="23" spans="1:7" x14ac:dyDescent="0.6">
      <c r="A23" s="2">
        <f t="shared" si="0"/>
        <v>22</v>
      </c>
      <c r="B23" s="1" t="s">
        <v>141</v>
      </c>
      <c r="D23" s="1">
        <f t="shared" ref="D23:D26" si="3">$A$21</f>
        <v>20</v>
      </c>
      <c r="E23" s="1" t="s">
        <v>8</v>
      </c>
      <c r="F23" s="3">
        <f>INDEX(people!$A$2:$A$125, MATCH(G23,people!$B$2:$B$125, 0))</f>
        <v>1690300349</v>
      </c>
      <c r="G23" s="1" t="s">
        <v>109</v>
      </c>
    </row>
    <row r="24" spans="1:7" x14ac:dyDescent="0.6">
      <c r="A24" s="2">
        <f t="shared" si="0"/>
        <v>23</v>
      </c>
      <c r="B24" s="1" t="s">
        <v>141</v>
      </c>
      <c r="D24" s="1">
        <f t="shared" si="3"/>
        <v>20</v>
      </c>
      <c r="E24" s="1" t="s">
        <v>8</v>
      </c>
      <c r="F24" s="3">
        <f>INDEX(people!$A$2:$A$125, MATCH(G24,people!$B$2:$B$125, 0))</f>
        <v>2680300154</v>
      </c>
      <c r="G24" s="1" t="s">
        <v>22</v>
      </c>
    </row>
    <row r="25" spans="1:7" x14ac:dyDescent="0.6">
      <c r="A25" s="2">
        <f t="shared" si="0"/>
        <v>24</v>
      </c>
      <c r="B25" s="1" t="s">
        <v>141</v>
      </c>
      <c r="D25" s="1">
        <f t="shared" si="3"/>
        <v>20</v>
      </c>
      <c r="E25" s="1" t="s">
        <v>8</v>
      </c>
      <c r="F25" s="3">
        <f>INDEX(people!$A$2:$A$125, MATCH(G25,people!$B$2:$B$125, 0))</f>
        <v>2980300364</v>
      </c>
      <c r="G25" s="1" t="s">
        <v>41</v>
      </c>
    </row>
    <row r="26" spans="1:7" x14ac:dyDescent="0.6">
      <c r="A26" s="2">
        <f t="shared" si="0"/>
        <v>25</v>
      </c>
      <c r="B26" s="1" t="s">
        <v>141</v>
      </c>
      <c r="D26" s="1">
        <f t="shared" si="3"/>
        <v>20</v>
      </c>
      <c r="E26" s="1" t="s">
        <v>8</v>
      </c>
      <c r="F26" s="3">
        <f>INDEX(people!$A$2:$A$125, MATCH(G26,people!$B$2:$B$125, 0))</f>
        <v>1830300210</v>
      </c>
      <c r="G26" s="1" t="s">
        <v>44</v>
      </c>
    </row>
    <row r="27" spans="1:7" x14ac:dyDescent="0.6">
      <c r="A27" s="2">
        <f t="shared" si="0"/>
        <v>26</v>
      </c>
      <c r="B27" s="1" t="s">
        <v>408</v>
      </c>
      <c r="D27" s="1">
        <f>A4</f>
        <v>3</v>
      </c>
      <c r="E27" s="1" t="s">
        <v>8</v>
      </c>
      <c r="F27" s="3">
        <f>INDEX(people!$A$2:$A$125, MATCH(G27,people!$B$2:$B$125, 0))</f>
        <v>1750300438</v>
      </c>
      <c r="G27" s="1" t="s">
        <v>24</v>
      </c>
    </row>
    <row r="28" spans="1:7" x14ac:dyDescent="0.6">
      <c r="A28" s="2">
        <f t="shared" si="0"/>
        <v>27</v>
      </c>
      <c r="B28" s="1" t="s">
        <v>409</v>
      </c>
      <c r="D28" s="1">
        <f>A27</f>
        <v>26</v>
      </c>
      <c r="E28" s="1" t="s">
        <v>8</v>
      </c>
      <c r="F28" s="3">
        <f>INDEX(people!$A$2:$A$125, MATCH(G28,people!$B$2:$B$125, 0))</f>
        <v>1890700240</v>
      </c>
      <c r="G28" s="1" t="s">
        <v>31</v>
      </c>
    </row>
    <row r="29" spans="1:7" x14ac:dyDescent="0.6">
      <c r="A29" s="2">
        <f t="shared" si="0"/>
        <v>28</v>
      </c>
      <c r="B29" s="1" t="s">
        <v>409</v>
      </c>
      <c r="D29" s="1">
        <f>A27</f>
        <v>26</v>
      </c>
      <c r="E29" s="1" t="s">
        <v>8</v>
      </c>
      <c r="F29" s="3">
        <f>INDEX(people!$A$2:$A$125, MATCH(G29,people!$B$2:$B$125, 0))</f>
        <v>1831200363</v>
      </c>
      <c r="G29" s="1" t="s">
        <v>82</v>
      </c>
    </row>
    <row r="30" spans="1:7" x14ac:dyDescent="0.6">
      <c r="A30" s="2">
        <f t="shared" si="0"/>
        <v>29</v>
      </c>
      <c r="B30" s="1" t="s">
        <v>141</v>
      </c>
      <c r="D30" s="1">
        <f>A28</f>
        <v>27</v>
      </c>
      <c r="E30" s="1" t="s">
        <v>8</v>
      </c>
      <c r="F30" s="3">
        <f>INDEX(people!$A$2:$A$125, MATCH(G30,people!$B$2:$B$125, 0))</f>
        <v>1690300603</v>
      </c>
      <c r="G30" s="1" t="s">
        <v>107</v>
      </c>
    </row>
    <row r="31" spans="1:7" x14ac:dyDescent="0.6">
      <c r="A31" s="2">
        <f t="shared" si="0"/>
        <v>30</v>
      </c>
      <c r="B31" s="1" t="s">
        <v>141</v>
      </c>
      <c r="D31" s="1">
        <f>$A$29</f>
        <v>28</v>
      </c>
      <c r="E31" s="1" t="s">
        <v>8</v>
      </c>
      <c r="F31" s="3">
        <f>INDEX(people!$A$2:$A$125, MATCH(G31,people!$B$2:$B$125, 0))</f>
        <v>2720300109</v>
      </c>
      <c r="G31" s="1" t="s">
        <v>27</v>
      </c>
    </row>
    <row r="32" spans="1:7" x14ac:dyDescent="0.6">
      <c r="A32" s="2">
        <f t="shared" si="0"/>
        <v>31</v>
      </c>
      <c r="B32" s="1" t="s">
        <v>141</v>
      </c>
      <c r="D32" s="1">
        <f t="shared" ref="D32:D34" si="4">$A$29</f>
        <v>28</v>
      </c>
      <c r="E32" s="1" t="s">
        <v>8</v>
      </c>
      <c r="F32" s="3">
        <f>INDEX(people!$A$2:$A$125, MATCH(G32,people!$B$2:$B$125, 0))</f>
        <v>2670300101</v>
      </c>
      <c r="G32" s="1" t="s">
        <v>29</v>
      </c>
    </row>
    <row r="33" spans="1:7" x14ac:dyDescent="0.6">
      <c r="A33" s="2">
        <f t="shared" si="0"/>
        <v>32</v>
      </c>
      <c r="B33" s="1" t="s">
        <v>141</v>
      </c>
      <c r="D33" s="1">
        <f t="shared" si="4"/>
        <v>28</v>
      </c>
      <c r="E33" s="1" t="s">
        <v>8</v>
      </c>
      <c r="F33" s="3">
        <f>INDEX(people!$A$2:$A$125, MATCH(G33,people!$B$2:$B$125, 0))</f>
        <v>1660300189</v>
      </c>
      <c r="G33" s="1" t="s">
        <v>28</v>
      </c>
    </row>
    <row r="34" spans="1:7" x14ac:dyDescent="0.6">
      <c r="A34" s="2">
        <f t="shared" si="0"/>
        <v>33</v>
      </c>
      <c r="B34" s="1" t="s">
        <v>141</v>
      </c>
      <c r="D34" s="1">
        <f t="shared" si="4"/>
        <v>28</v>
      </c>
      <c r="E34" s="1" t="s">
        <v>8</v>
      </c>
      <c r="F34" s="3">
        <f>INDEX(people!$A$2:$A$125, MATCH(G34,people!$B$2:$B$125, 0))</f>
        <v>1790300234</v>
      </c>
      <c r="G34" s="1" t="s">
        <v>25</v>
      </c>
    </row>
    <row r="35" spans="1:7" x14ac:dyDescent="0.6">
      <c r="A35" s="2">
        <f t="shared" si="0"/>
        <v>34</v>
      </c>
      <c r="B35" s="1" t="s">
        <v>410</v>
      </c>
      <c r="D35" s="1">
        <f>A4</f>
        <v>3</v>
      </c>
      <c r="E35" s="1" t="s">
        <v>8</v>
      </c>
      <c r="F35" s="3">
        <f>INDEX(people!$A$2:$A$125, MATCH(G35,people!$B$2:$B$125, 0))</f>
        <v>1830300209</v>
      </c>
      <c r="G35" s="1" t="s">
        <v>33</v>
      </c>
    </row>
    <row r="36" spans="1:7" x14ac:dyDescent="0.6">
      <c r="A36" s="2">
        <f t="shared" si="0"/>
        <v>35</v>
      </c>
      <c r="B36" s="1" t="s">
        <v>411</v>
      </c>
      <c r="D36" s="1">
        <f>A35</f>
        <v>34</v>
      </c>
      <c r="E36" s="1" t="s">
        <v>8</v>
      </c>
      <c r="F36" s="3">
        <f>INDEX(people!$A$2:$A$125, MATCH(G36,people!$B$2:$B$125, 0))</f>
        <v>1690300388</v>
      </c>
      <c r="G36" s="1" t="s">
        <v>95</v>
      </c>
    </row>
    <row r="37" spans="1:7" x14ac:dyDescent="0.6">
      <c r="A37" s="2">
        <f t="shared" si="0"/>
        <v>36</v>
      </c>
      <c r="B37" s="1" t="s">
        <v>412</v>
      </c>
      <c r="D37" s="1">
        <f>A27</f>
        <v>26</v>
      </c>
      <c r="E37" s="1" t="s">
        <v>8</v>
      </c>
      <c r="F37" s="3">
        <f>INDEX(people!$A$2:$A$125, MATCH(G37,people!$B$2:$B$125, 0))</f>
        <v>1820300233</v>
      </c>
      <c r="G37" s="1" t="s">
        <v>30</v>
      </c>
    </row>
    <row r="38" spans="1:7" x14ac:dyDescent="0.6">
      <c r="A38" s="2">
        <f t="shared" si="0"/>
        <v>37</v>
      </c>
      <c r="B38" s="1" t="s">
        <v>413</v>
      </c>
      <c r="D38" s="1">
        <f>A27</f>
        <v>26</v>
      </c>
      <c r="E38" s="1" t="s">
        <v>8</v>
      </c>
      <c r="F38" s="3">
        <f>INDEX(people!$A$2:$A$125, MATCH(G38,people!$B$2:$B$125, 0))</f>
        <v>1670300249</v>
      </c>
      <c r="G38" s="1" t="s">
        <v>55</v>
      </c>
    </row>
    <row r="39" spans="1:7" x14ac:dyDescent="0.6">
      <c r="A39" s="2">
        <f t="shared" si="0"/>
        <v>38</v>
      </c>
      <c r="B39" s="1" t="s">
        <v>415</v>
      </c>
      <c r="D39" s="1">
        <f>$A$38</f>
        <v>37</v>
      </c>
      <c r="E39" s="1" t="s">
        <v>8</v>
      </c>
      <c r="F39" s="3">
        <f>INDEX(people!$A$2:$A$125, MATCH(G39,people!$B$2:$B$125, 0))</f>
        <v>1820300058</v>
      </c>
      <c r="G39" s="1" t="s">
        <v>60</v>
      </c>
    </row>
    <row r="40" spans="1:7" x14ac:dyDescent="0.6">
      <c r="A40" s="2">
        <f t="shared" si="0"/>
        <v>39</v>
      </c>
      <c r="B40" s="1" t="s">
        <v>432</v>
      </c>
      <c r="D40" s="1">
        <f t="shared" ref="D40:D43" si="5">$A$38</f>
        <v>37</v>
      </c>
      <c r="E40" s="1" t="s">
        <v>8</v>
      </c>
      <c r="F40" s="3">
        <f>INDEX(people!$A$2:$A$125, MATCH(G40,people!$B$2:$B$125, 0))</f>
        <v>2890300162</v>
      </c>
      <c r="G40" s="1" t="s">
        <v>47</v>
      </c>
    </row>
    <row r="41" spans="1:7" x14ac:dyDescent="0.6">
      <c r="A41" s="2">
        <f t="shared" si="0"/>
        <v>40</v>
      </c>
      <c r="B41" s="1" t="s">
        <v>416</v>
      </c>
      <c r="D41" s="1">
        <f t="shared" si="5"/>
        <v>37</v>
      </c>
      <c r="E41" s="1" t="s">
        <v>8</v>
      </c>
      <c r="F41" s="3">
        <f>INDEX(people!$A$2:$A$125, MATCH(G41,people!$B$2:$B$125, 0))</f>
        <v>1850300085</v>
      </c>
      <c r="G41" s="1" t="s">
        <v>88</v>
      </c>
    </row>
    <row r="42" spans="1:7" x14ac:dyDescent="0.6">
      <c r="A42" s="2">
        <f t="shared" si="0"/>
        <v>41</v>
      </c>
      <c r="B42" s="1" t="s">
        <v>417</v>
      </c>
      <c r="D42" s="1">
        <f t="shared" si="5"/>
        <v>37</v>
      </c>
      <c r="E42" s="1" t="s">
        <v>8</v>
      </c>
      <c r="F42" s="3">
        <f>INDEX(people!$A$2:$A$125, MATCH(G42,people!$B$2:$B$125, 0))</f>
        <v>1872100269</v>
      </c>
      <c r="G42" s="1" t="s">
        <v>65</v>
      </c>
    </row>
    <row r="43" spans="1:7" x14ac:dyDescent="0.6">
      <c r="A43" s="2">
        <f t="shared" si="0"/>
        <v>42</v>
      </c>
      <c r="B43" s="1" t="s">
        <v>418</v>
      </c>
      <c r="D43" s="1">
        <f t="shared" si="5"/>
        <v>37</v>
      </c>
      <c r="E43" s="1" t="s">
        <v>8</v>
      </c>
      <c r="F43" s="3">
        <f>INDEX(people!$A$2:$A$125, MATCH(G43,people!$B$2:$B$125, 0))</f>
        <v>1930700107</v>
      </c>
      <c r="G43" s="1" t="s">
        <v>76</v>
      </c>
    </row>
    <row r="44" spans="1:7" x14ac:dyDescent="0.6">
      <c r="A44" s="2">
        <f t="shared" si="0"/>
        <v>43</v>
      </c>
      <c r="B44" s="1" t="s">
        <v>414</v>
      </c>
      <c r="D44" s="1">
        <f>A27</f>
        <v>26</v>
      </c>
      <c r="E44" s="1" t="s">
        <v>8</v>
      </c>
      <c r="F44" s="3">
        <f>INDEX(people!$A$2:$A$125, MATCH(G44,people!$B$2:$B$125, 0))</f>
        <v>1920300331</v>
      </c>
      <c r="G44" s="1" t="s">
        <v>69</v>
      </c>
    </row>
    <row r="45" spans="1:7" x14ac:dyDescent="0.6">
      <c r="A45" s="2">
        <f t="shared" si="0"/>
        <v>44</v>
      </c>
      <c r="B45" s="1" t="s">
        <v>419</v>
      </c>
      <c r="D45" s="1">
        <f>$A$44</f>
        <v>43</v>
      </c>
      <c r="E45" s="1" t="s">
        <v>8</v>
      </c>
      <c r="F45" s="3">
        <f>INDEX(people!$A$2:$A$125, MATCH(G45,people!$B$2:$B$125, 0))</f>
        <v>1904800001</v>
      </c>
      <c r="G45" s="1" t="s">
        <v>70</v>
      </c>
    </row>
    <row r="46" spans="1:7" x14ac:dyDescent="0.6">
      <c r="A46" s="2">
        <f t="shared" si="0"/>
        <v>45</v>
      </c>
      <c r="B46" s="1" t="s">
        <v>420</v>
      </c>
      <c r="D46" s="1">
        <f t="shared" ref="D46:D47" si="6">$A$44</f>
        <v>43</v>
      </c>
      <c r="E46" s="1" t="s">
        <v>8</v>
      </c>
      <c r="F46" s="3">
        <f>INDEX(people!$A$2:$A$125, MATCH(G46,people!$B$2:$B$125, 0))</f>
        <v>2930300307</v>
      </c>
      <c r="G46" s="1" t="s">
        <v>54</v>
      </c>
    </row>
    <row r="47" spans="1:7" x14ac:dyDescent="0.6">
      <c r="A47" s="2">
        <f t="shared" si="0"/>
        <v>46</v>
      </c>
      <c r="B47" s="1" t="s">
        <v>418</v>
      </c>
      <c r="D47" s="1">
        <f t="shared" si="6"/>
        <v>43</v>
      </c>
      <c r="E47" s="1" t="s">
        <v>8</v>
      </c>
      <c r="F47" s="3">
        <f>INDEX(people!$A$2:$A$125, MATCH(G47,people!$B$2:$B$125, 0))</f>
        <v>2820300049</v>
      </c>
      <c r="G47" s="1" t="s">
        <v>26</v>
      </c>
    </row>
    <row r="48" spans="1:7" x14ac:dyDescent="0.6">
      <c r="A48" s="2">
        <f t="shared" si="0"/>
        <v>47</v>
      </c>
      <c r="B48" s="1" t="s">
        <v>421</v>
      </c>
      <c r="D48" s="1">
        <f>A37</f>
        <v>36</v>
      </c>
      <c r="E48" s="1" t="s">
        <v>8</v>
      </c>
      <c r="F48" s="3">
        <f>INDEX(people!$A$2:$A$125, MATCH(G48,people!$B$2:$B$125, 0))</f>
        <v>1901200129</v>
      </c>
      <c r="G48" s="1" t="s">
        <v>84</v>
      </c>
    </row>
    <row r="49" spans="1:7" x14ac:dyDescent="0.6">
      <c r="A49" s="2">
        <f t="shared" si="0"/>
        <v>48</v>
      </c>
      <c r="B49" s="1" t="s">
        <v>422</v>
      </c>
      <c r="D49" s="1">
        <f>A37</f>
        <v>36</v>
      </c>
      <c r="E49" s="1" t="s">
        <v>8</v>
      </c>
      <c r="F49" s="3">
        <f>INDEX(people!$A$2:$A$125, MATCH(G49,people!$B$2:$B$125, 0))</f>
        <v>1840300188</v>
      </c>
      <c r="G49" s="1" t="s">
        <v>38</v>
      </c>
    </row>
    <row r="50" spans="1:7" x14ac:dyDescent="0.6">
      <c r="A50" s="2">
        <f t="shared" si="0"/>
        <v>49</v>
      </c>
      <c r="B50" s="1" t="s">
        <v>423</v>
      </c>
      <c r="D50" s="1">
        <f>$A$48</f>
        <v>47</v>
      </c>
      <c r="E50" s="1" t="s">
        <v>143</v>
      </c>
      <c r="F50" s="3">
        <f>INDEX(people!$A$2:$A$125, MATCH(G50,people!$B$2:$B$125, 0))</f>
        <v>1990300147</v>
      </c>
      <c r="G50" s="1" t="s">
        <v>118</v>
      </c>
    </row>
    <row r="51" spans="1:7" x14ac:dyDescent="0.6">
      <c r="A51" s="2">
        <f t="shared" si="0"/>
        <v>50</v>
      </c>
      <c r="B51" s="1" t="s">
        <v>423</v>
      </c>
      <c r="D51" s="1">
        <f t="shared" ref="D51:D54" si="7">$A$48</f>
        <v>47</v>
      </c>
      <c r="E51" s="1" t="s">
        <v>143</v>
      </c>
      <c r="F51" s="3">
        <f>INDEX(people!$A$2:$A$125, MATCH(G51,people!$B$2:$B$125, 0))</f>
        <v>2870300243</v>
      </c>
      <c r="G51" s="1" t="s">
        <v>32</v>
      </c>
    </row>
    <row r="52" spans="1:7" x14ac:dyDescent="0.6">
      <c r="A52" s="2">
        <f t="shared" si="0"/>
        <v>51</v>
      </c>
      <c r="B52" s="1" t="s">
        <v>144</v>
      </c>
      <c r="D52" s="1">
        <f t="shared" si="7"/>
        <v>47</v>
      </c>
      <c r="E52" s="1" t="s">
        <v>8</v>
      </c>
      <c r="F52" s="3">
        <f>INDEX(people!$A$2:$A$125, MATCH(G52,people!$B$2:$B$125, 0))</f>
        <v>1690300322</v>
      </c>
      <c r="G52" s="1" t="s">
        <v>99</v>
      </c>
    </row>
    <row r="53" spans="1:7" x14ac:dyDescent="0.6">
      <c r="A53" s="2">
        <f t="shared" si="0"/>
        <v>52</v>
      </c>
      <c r="B53" s="1" t="s">
        <v>144</v>
      </c>
      <c r="D53" s="1">
        <f t="shared" si="7"/>
        <v>47</v>
      </c>
      <c r="E53" s="1" t="s">
        <v>8</v>
      </c>
      <c r="F53" s="3">
        <f>INDEX(people!$A$2:$A$125, MATCH(G53,people!$B$2:$B$125, 0))</f>
        <v>1690300442</v>
      </c>
      <c r="G53" s="1" t="s">
        <v>96</v>
      </c>
    </row>
    <row r="54" spans="1:7" x14ac:dyDescent="0.6">
      <c r="A54" s="2">
        <f t="shared" si="0"/>
        <v>53</v>
      </c>
      <c r="B54" s="1" t="s">
        <v>144</v>
      </c>
      <c r="D54" s="1">
        <f t="shared" si="7"/>
        <v>47</v>
      </c>
      <c r="E54" s="1" t="s">
        <v>8</v>
      </c>
      <c r="F54" s="3">
        <f>INDEX(people!$A$2:$A$125, MATCH(G54,people!$B$2:$B$125, 0))</f>
        <v>2820300034</v>
      </c>
      <c r="G54" s="1" t="s">
        <v>115</v>
      </c>
    </row>
    <row r="55" spans="1:7" x14ac:dyDescent="0.6">
      <c r="A55" s="2">
        <f t="shared" si="0"/>
        <v>54</v>
      </c>
      <c r="B55" s="1" t="s">
        <v>424</v>
      </c>
      <c r="D55" s="1">
        <f t="shared" ref="D55:D62" si="8">$A$49</f>
        <v>48</v>
      </c>
      <c r="E55" s="1" t="s">
        <v>143</v>
      </c>
      <c r="F55" s="3">
        <f>INDEX(people!$A$2:$A$125, MATCH(G55,people!$B$2:$B$125, 0))</f>
        <v>2900300246</v>
      </c>
      <c r="G55" s="1" t="s">
        <v>36</v>
      </c>
    </row>
    <row r="56" spans="1:7" x14ac:dyDescent="0.6">
      <c r="A56" s="2">
        <f t="shared" si="0"/>
        <v>55</v>
      </c>
      <c r="B56" s="1" t="s">
        <v>424</v>
      </c>
      <c r="D56" s="1">
        <f t="shared" si="8"/>
        <v>48</v>
      </c>
      <c r="E56" s="1" t="s">
        <v>143</v>
      </c>
      <c r="F56" s="3">
        <f>INDEX(people!$A$2:$A$125, MATCH(G56,people!$B$2:$B$125, 0))</f>
        <v>2871400116</v>
      </c>
      <c r="G56" s="1" t="s">
        <v>89</v>
      </c>
    </row>
    <row r="57" spans="1:7" x14ac:dyDescent="0.6">
      <c r="A57" s="2">
        <f t="shared" si="0"/>
        <v>56</v>
      </c>
      <c r="B57" s="1" t="s">
        <v>145</v>
      </c>
      <c r="D57" s="1">
        <f t="shared" si="8"/>
        <v>48</v>
      </c>
      <c r="E57" s="1" t="s">
        <v>8</v>
      </c>
      <c r="F57" s="3">
        <f>INDEX(people!$A$2:$A$125, MATCH(G57,people!$B$2:$B$125, 0))</f>
        <v>2870300253</v>
      </c>
      <c r="G57" s="1" t="s">
        <v>35</v>
      </c>
    </row>
    <row r="58" spans="1:7" x14ac:dyDescent="0.6">
      <c r="A58" s="2">
        <f t="shared" si="0"/>
        <v>57</v>
      </c>
      <c r="B58" s="1" t="s">
        <v>145</v>
      </c>
      <c r="D58" s="1">
        <f t="shared" si="8"/>
        <v>48</v>
      </c>
      <c r="E58" s="1" t="s">
        <v>8</v>
      </c>
      <c r="F58" s="3">
        <f>INDEX(people!$A$2:$A$125, MATCH(G58,people!$B$2:$B$125, 0))</f>
        <v>2990300274</v>
      </c>
      <c r="G58" s="1" t="s">
        <v>37</v>
      </c>
    </row>
    <row r="59" spans="1:7" x14ac:dyDescent="0.6">
      <c r="A59" s="2">
        <f t="shared" si="0"/>
        <v>58</v>
      </c>
      <c r="B59" s="1" t="s">
        <v>145</v>
      </c>
      <c r="D59" s="1">
        <f t="shared" si="8"/>
        <v>48</v>
      </c>
      <c r="E59" s="1" t="s">
        <v>8</v>
      </c>
      <c r="F59" s="3">
        <f>INDEX(people!$A$2:$A$125, MATCH(G59,people!$B$2:$B$125, 0))</f>
        <v>2870300157</v>
      </c>
      <c r="G59" s="1" t="s">
        <v>105</v>
      </c>
    </row>
    <row r="60" spans="1:7" x14ac:dyDescent="0.6">
      <c r="A60" s="2">
        <f t="shared" si="0"/>
        <v>59</v>
      </c>
      <c r="B60" s="1" t="s">
        <v>145</v>
      </c>
      <c r="D60" s="1">
        <f t="shared" si="8"/>
        <v>48</v>
      </c>
      <c r="E60" s="1" t="s">
        <v>8</v>
      </c>
      <c r="F60" s="3">
        <f>INDEX(people!$A$2:$A$125, MATCH(G60,people!$B$2:$B$125, 0))</f>
        <v>2680300173</v>
      </c>
      <c r="G60" s="1" t="s">
        <v>81</v>
      </c>
    </row>
    <row r="61" spans="1:7" x14ac:dyDescent="0.6">
      <c r="A61" s="2">
        <f t="shared" si="0"/>
        <v>60</v>
      </c>
      <c r="B61" s="1" t="s">
        <v>145</v>
      </c>
      <c r="D61" s="1">
        <f t="shared" si="8"/>
        <v>48</v>
      </c>
      <c r="E61" s="1" t="s">
        <v>8</v>
      </c>
      <c r="F61" s="3">
        <f>INDEX(people!$A$2:$A$125, MATCH(G61,people!$B$2:$B$125, 0))</f>
        <v>2810300213</v>
      </c>
      <c r="G61" s="1" t="s">
        <v>39</v>
      </c>
    </row>
    <row r="62" spans="1:7" x14ac:dyDescent="0.6">
      <c r="A62" s="2">
        <f t="shared" si="0"/>
        <v>61</v>
      </c>
      <c r="B62" s="1" t="s">
        <v>145</v>
      </c>
      <c r="D62" s="1">
        <f t="shared" si="8"/>
        <v>48</v>
      </c>
      <c r="E62" s="1" t="s">
        <v>8</v>
      </c>
      <c r="F62" s="3">
        <f>INDEX(people!$A$2:$A$125, MATCH(G62,people!$B$2:$B$125, 0))</f>
        <v>2930300439</v>
      </c>
      <c r="G62" s="1" t="s">
        <v>34</v>
      </c>
    </row>
    <row r="63" spans="1:7" x14ac:dyDescent="0.6">
      <c r="A63" s="2">
        <f t="shared" si="0"/>
        <v>62</v>
      </c>
      <c r="B63" s="1" t="s">
        <v>425</v>
      </c>
      <c r="D63" s="1">
        <f>$A$39</f>
        <v>38</v>
      </c>
      <c r="E63" s="1" t="s">
        <v>143</v>
      </c>
      <c r="F63" s="3">
        <f>INDEX(people!$A$2:$A$125, MATCH(G63,people!$B$2:$B$125, 0))</f>
        <v>2800300262</v>
      </c>
      <c r="G63" s="1" t="s">
        <v>57</v>
      </c>
    </row>
    <row r="64" spans="1:7" x14ac:dyDescent="0.6">
      <c r="A64" s="2">
        <f t="shared" si="0"/>
        <v>63</v>
      </c>
      <c r="B64" s="1" t="s">
        <v>425</v>
      </c>
      <c r="D64" s="1">
        <f t="shared" ref="D64:D73" si="9">$A$39</f>
        <v>38</v>
      </c>
      <c r="E64" s="1" t="s">
        <v>143</v>
      </c>
      <c r="F64" s="3">
        <f>INDEX(people!$A$2:$A$125, MATCH(G64,people!$B$2:$B$125, 0))</f>
        <v>2830300017</v>
      </c>
      <c r="G64" s="1" t="s">
        <v>83</v>
      </c>
    </row>
    <row r="65" spans="1:7" x14ac:dyDescent="0.6">
      <c r="A65" s="2">
        <f t="shared" si="0"/>
        <v>64</v>
      </c>
      <c r="B65" s="1" t="s">
        <v>146</v>
      </c>
      <c r="D65" s="1">
        <f t="shared" si="9"/>
        <v>38</v>
      </c>
      <c r="E65" s="1" t="s">
        <v>8</v>
      </c>
      <c r="F65" s="3">
        <f>INDEX(people!$A$2:$A$125, MATCH(G65,people!$B$2:$B$125, 0))</f>
        <v>2750300112</v>
      </c>
      <c r="G65" s="1" t="s">
        <v>56</v>
      </c>
    </row>
    <row r="66" spans="1:7" x14ac:dyDescent="0.6">
      <c r="A66" s="2">
        <f t="shared" si="0"/>
        <v>65</v>
      </c>
      <c r="B66" s="1" t="s">
        <v>146</v>
      </c>
      <c r="D66" s="1">
        <f t="shared" si="9"/>
        <v>38</v>
      </c>
      <c r="E66" s="1" t="s">
        <v>8</v>
      </c>
      <c r="F66" s="3">
        <f>INDEX(people!$A$2:$A$125, MATCH(G66,people!$B$2:$B$125, 0))</f>
        <v>1840300118</v>
      </c>
      <c r="G66" s="1" t="s">
        <v>58</v>
      </c>
    </row>
    <row r="67" spans="1:7" x14ac:dyDescent="0.6">
      <c r="A67" s="2">
        <f t="shared" si="0"/>
        <v>66</v>
      </c>
      <c r="B67" s="1" t="s">
        <v>146</v>
      </c>
      <c r="D67" s="1">
        <f t="shared" si="9"/>
        <v>38</v>
      </c>
      <c r="E67" s="1" t="s">
        <v>8</v>
      </c>
      <c r="F67" s="3">
        <f>INDEX(people!$A$2:$A$125, MATCH(G67,people!$B$2:$B$125, 0))</f>
        <v>1840600176</v>
      </c>
      <c r="G67" s="1" t="s">
        <v>59</v>
      </c>
    </row>
    <row r="68" spans="1:7" x14ac:dyDescent="0.6">
      <c r="A68" s="2">
        <f t="shared" si="0"/>
        <v>67</v>
      </c>
      <c r="B68" s="1" t="s">
        <v>146</v>
      </c>
      <c r="D68" s="1">
        <f t="shared" si="9"/>
        <v>38</v>
      </c>
      <c r="E68" s="1" t="s">
        <v>8</v>
      </c>
      <c r="F68" s="3">
        <f>INDEX(people!$A$2:$A$125, MATCH(G68,people!$B$2:$B$125, 0))</f>
        <v>1710300321</v>
      </c>
      <c r="G68" s="1" t="s">
        <v>61</v>
      </c>
    </row>
    <row r="69" spans="1:7" x14ac:dyDescent="0.6">
      <c r="A69" s="2">
        <f t="shared" si="0"/>
        <v>68</v>
      </c>
      <c r="B69" s="1" t="s">
        <v>146</v>
      </c>
      <c r="D69" s="1">
        <f t="shared" si="9"/>
        <v>38</v>
      </c>
      <c r="E69" s="1" t="s">
        <v>8</v>
      </c>
      <c r="F69" s="3">
        <f>INDEX(people!$A$2:$A$125, MATCH(G69,people!$B$2:$B$125, 0))</f>
        <v>1820300041</v>
      </c>
      <c r="G69" s="1" t="s">
        <v>62</v>
      </c>
    </row>
    <row r="70" spans="1:7" x14ac:dyDescent="0.6">
      <c r="A70" s="2">
        <f t="shared" si="0"/>
        <v>69</v>
      </c>
      <c r="B70" s="1" t="s">
        <v>146</v>
      </c>
      <c r="D70" s="1">
        <f t="shared" si="9"/>
        <v>38</v>
      </c>
      <c r="E70" s="1" t="s">
        <v>8</v>
      </c>
      <c r="F70" s="3">
        <f>INDEX(people!$A$2:$A$125, MATCH(G70,people!$B$2:$B$125, 0))</f>
        <v>2820300165</v>
      </c>
      <c r="G70" s="1" t="s">
        <v>63</v>
      </c>
    </row>
    <row r="71" spans="1:7" x14ac:dyDescent="0.6">
      <c r="A71" s="2">
        <f t="shared" ref="A71:A105" si="10">A70+1</f>
        <v>70</v>
      </c>
      <c r="B71" s="1" t="s">
        <v>146</v>
      </c>
      <c r="D71" s="1">
        <f t="shared" si="9"/>
        <v>38</v>
      </c>
      <c r="E71" s="1" t="s">
        <v>8</v>
      </c>
      <c r="F71" s="3">
        <f>INDEX(people!$A$2:$A$125, MATCH(G71,people!$B$2:$B$125, 0))</f>
        <v>1680300327</v>
      </c>
      <c r="G71" s="1" t="s">
        <v>74</v>
      </c>
    </row>
    <row r="72" spans="1:7" x14ac:dyDescent="0.6">
      <c r="A72" s="2">
        <f t="shared" si="10"/>
        <v>71</v>
      </c>
      <c r="B72" s="1" t="s">
        <v>146</v>
      </c>
      <c r="D72" s="1">
        <f t="shared" si="9"/>
        <v>38</v>
      </c>
      <c r="E72" s="1" t="s">
        <v>8</v>
      </c>
      <c r="F72" s="3">
        <f>INDEX(people!$A$2:$A$125, MATCH(G72,people!$B$2:$B$125, 0))</f>
        <v>2780300027</v>
      </c>
      <c r="G72" s="1" t="s">
        <v>101</v>
      </c>
    </row>
    <row r="73" spans="1:7" x14ac:dyDescent="0.6">
      <c r="A73" s="2">
        <f t="shared" si="10"/>
        <v>72</v>
      </c>
      <c r="B73" s="1" t="s">
        <v>146</v>
      </c>
      <c r="D73" s="1">
        <f t="shared" si="9"/>
        <v>38</v>
      </c>
      <c r="E73" s="1" t="s">
        <v>8</v>
      </c>
      <c r="F73" s="3">
        <f>INDEX(people!$A$2:$A$125, MATCH(G73,people!$B$2:$B$125, 0))</f>
        <v>2810300025</v>
      </c>
      <c r="G73" s="1" t="s">
        <v>102</v>
      </c>
    </row>
    <row r="74" spans="1:7" x14ac:dyDescent="0.6">
      <c r="A74" s="2">
        <f t="shared" si="10"/>
        <v>73</v>
      </c>
      <c r="B74" s="1" t="s">
        <v>426</v>
      </c>
      <c r="D74" s="1">
        <f>$A$40</f>
        <v>39</v>
      </c>
      <c r="E74" s="1" t="s">
        <v>143</v>
      </c>
      <c r="F74" s="3">
        <f>INDEX(people!$A$2:$A$125, MATCH(G74,people!$B$2:$B$125, 0))</f>
        <v>1730300800</v>
      </c>
      <c r="G74" s="1" t="s">
        <v>46</v>
      </c>
    </row>
    <row r="75" spans="1:7" x14ac:dyDescent="0.6">
      <c r="A75" s="2">
        <f t="shared" si="10"/>
        <v>74</v>
      </c>
      <c r="B75" s="1" t="s">
        <v>426</v>
      </c>
      <c r="D75" s="1">
        <f t="shared" ref="D75:D80" si="11">$A$40</f>
        <v>39</v>
      </c>
      <c r="E75" s="1" t="s">
        <v>143</v>
      </c>
      <c r="F75" s="3">
        <f>INDEX(people!$A$2:$A$125, MATCH(G75,people!$B$2:$B$125, 0))</f>
        <v>2900300321</v>
      </c>
      <c r="G75" s="1" t="s">
        <v>90</v>
      </c>
    </row>
    <row r="76" spans="1:7" x14ac:dyDescent="0.6">
      <c r="A76" s="2">
        <f t="shared" si="10"/>
        <v>75</v>
      </c>
      <c r="B76" s="1" t="s">
        <v>147</v>
      </c>
      <c r="D76" s="1">
        <f t="shared" si="11"/>
        <v>39</v>
      </c>
      <c r="E76" s="1" t="s">
        <v>8</v>
      </c>
      <c r="F76" s="3">
        <f>INDEX(people!$A$2:$A$125, MATCH(G76,people!$B$2:$B$125, 0))</f>
        <v>2820800126</v>
      </c>
      <c r="G76" s="1" t="s">
        <v>48</v>
      </c>
    </row>
    <row r="77" spans="1:7" x14ac:dyDescent="0.6">
      <c r="A77" s="2">
        <f t="shared" si="10"/>
        <v>76</v>
      </c>
      <c r="B77" s="1" t="s">
        <v>147</v>
      </c>
      <c r="D77" s="1">
        <f t="shared" si="11"/>
        <v>39</v>
      </c>
      <c r="E77" s="1" t="s">
        <v>8</v>
      </c>
      <c r="F77" s="3">
        <f>INDEX(people!$A$2:$A$125, MATCH(G77,people!$B$2:$B$125, 0))</f>
        <v>2670800184</v>
      </c>
      <c r="G77" s="1" t="s">
        <v>85</v>
      </c>
    </row>
    <row r="78" spans="1:7" x14ac:dyDescent="0.6">
      <c r="A78" s="2">
        <f t="shared" si="10"/>
        <v>77</v>
      </c>
      <c r="B78" s="1" t="s">
        <v>147</v>
      </c>
      <c r="D78" s="1">
        <f t="shared" si="11"/>
        <v>39</v>
      </c>
      <c r="E78" s="1" t="s">
        <v>8</v>
      </c>
      <c r="F78" s="3">
        <f>INDEX(people!$A$2:$A$125, MATCH(G78,people!$B$2:$B$125, 0))</f>
        <v>2700300301</v>
      </c>
      <c r="G78" s="1" t="s">
        <v>98</v>
      </c>
    </row>
    <row r="79" spans="1:7" x14ac:dyDescent="0.6">
      <c r="A79" s="2">
        <f t="shared" si="10"/>
        <v>78</v>
      </c>
      <c r="B79" s="1" t="s">
        <v>147</v>
      </c>
      <c r="D79" s="1">
        <f t="shared" si="11"/>
        <v>39</v>
      </c>
      <c r="E79" s="1" t="s">
        <v>8</v>
      </c>
      <c r="F79" s="3">
        <f>INDEX(people!$A$2:$A$125, MATCH(G79,people!$B$2:$B$125, 0))</f>
        <v>2830300078</v>
      </c>
      <c r="G79" s="1" t="s">
        <v>103</v>
      </c>
    </row>
    <row r="80" spans="1:7" x14ac:dyDescent="0.6">
      <c r="A80" s="2">
        <f t="shared" si="10"/>
        <v>79</v>
      </c>
      <c r="B80" s="1" t="s">
        <v>147</v>
      </c>
      <c r="D80" s="1">
        <f t="shared" si="11"/>
        <v>39</v>
      </c>
      <c r="E80" s="1" t="s">
        <v>8</v>
      </c>
      <c r="F80" s="3">
        <f>INDEX(people!$A$2:$A$125, MATCH(G80,people!$B$2:$B$125, 0))</f>
        <v>2910300165</v>
      </c>
      <c r="G80" s="1" t="s">
        <v>106</v>
      </c>
    </row>
    <row r="81" spans="1:7" x14ac:dyDescent="0.6">
      <c r="A81" s="2">
        <f t="shared" si="10"/>
        <v>80</v>
      </c>
      <c r="B81" s="1" t="s">
        <v>427</v>
      </c>
      <c r="D81" s="1">
        <f>$A$41</f>
        <v>40</v>
      </c>
      <c r="E81" s="1" t="s">
        <v>143</v>
      </c>
      <c r="F81" s="3">
        <f>INDEX(people!$A$2:$A$125, MATCH(G81,people!$B$2:$B$125, 0))</f>
        <v>2920300428</v>
      </c>
      <c r="G81" s="1" t="s">
        <v>50</v>
      </c>
    </row>
    <row r="82" spans="1:7" x14ac:dyDescent="0.6">
      <c r="A82" s="2">
        <f t="shared" si="10"/>
        <v>81</v>
      </c>
      <c r="B82" s="1" t="s">
        <v>427</v>
      </c>
      <c r="D82" s="1">
        <f t="shared" ref="D82:D91" si="12">$A$41</f>
        <v>40</v>
      </c>
      <c r="E82" s="1" t="s">
        <v>143</v>
      </c>
      <c r="F82" s="3">
        <f>INDEX(people!$A$2:$A$125, MATCH(G82,people!$B$2:$B$125, 0))</f>
        <v>1870300227</v>
      </c>
      <c r="G82" s="1" t="s">
        <v>45</v>
      </c>
    </row>
    <row r="83" spans="1:7" x14ac:dyDescent="0.6">
      <c r="A83" s="2">
        <f t="shared" si="10"/>
        <v>82</v>
      </c>
      <c r="B83" s="1" t="s">
        <v>148</v>
      </c>
      <c r="D83" s="1">
        <f t="shared" si="12"/>
        <v>40</v>
      </c>
      <c r="E83" s="1" t="s">
        <v>8</v>
      </c>
      <c r="F83" s="3">
        <f>INDEX(people!$A$2:$A$125, MATCH(G83,people!$B$2:$B$125, 0))</f>
        <v>1670800495</v>
      </c>
      <c r="G83" s="1" t="s">
        <v>42</v>
      </c>
    </row>
    <row r="84" spans="1:7" x14ac:dyDescent="0.6">
      <c r="A84" s="2">
        <f t="shared" si="10"/>
        <v>83</v>
      </c>
      <c r="B84" s="1" t="s">
        <v>148</v>
      </c>
      <c r="D84" s="1">
        <f t="shared" si="12"/>
        <v>40</v>
      </c>
      <c r="E84" s="1" t="s">
        <v>8</v>
      </c>
      <c r="F84" s="3">
        <f>INDEX(people!$A$2:$A$125, MATCH(G84,people!$B$2:$B$125, 0))</f>
        <v>2870300008</v>
      </c>
      <c r="G84" s="1" t="s">
        <v>91</v>
      </c>
    </row>
    <row r="85" spans="1:7" x14ac:dyDescent="0.6">
      <c r="A85" s="2">
        <f t="shared" si="10"/>
        <v>84</v>
      </c>
      <c r="B85" s="1" t="s">
        <v>148</v>
      </c>
      <c r="D85" s="1">
        <f t="shared" si="12"/>
        <v>40</v>
      </c>
      <c r="E85" s="1" t="s">
        <v>8</v>
      </c>
      <c r="F85" s="3">
        <f>INDEX(people!$A$2:$A$125, MATCH(G85,people!$B$2:$B$125, 0))</f>
        <v>2870600141</v>
      </c>
      <c r="G85" s="1" t="s">
        <v>51</v>
      </c>
    </row>
    <row r="86" spans="1:7" x14ac:dyDescent="0.6">
      <c r="A86" s="2">
        <f t="shared" si="10"/>
        <v>85</v>
      </c>
      <c r="B86" s="1" t="s">
        <v>148</v>
      </c>
      <c r="D86" s="1">
        <f t="shared" si="12"/>
        <v>40</v>
      </c>
      <c r="E86" s="1" t="s">
        <v>8</v>
      </c>
      <c r="F86" s="3">
        <f>INDEX(people!$A$2:$A$125, MATCH(G86,people!$B$2:$B$125, 0))</f>
        <v>2840300235</v>
      </c>
      <c r="G86" s="1" t="s">
        <v>73</v>
      </c>
    </row>
    <row r="87" spans="1:7" x14ac:dyDescent="0.6">
      <c r="A87" s="2">
        <f t="shared" si="10"/>
        <v>86</v>
      </c>
      <c r="B87" s="1" t="s">
        <v>148</v>
      </c>
      <c r="D87" s="1">
        <f t="shared" si="12"/>
        <v>40</v>
      </c>
      <c r="E87" s="1" t="s">
        <v>8</v>
      </c>
      <c r="F87" s="3">
        <f>INDEX(people!$A$2:$A$125, MATCH(G87,people!$B$2:$B$125, 0))</f>
        <v>1840300396</v>
      </c>
      <c r="G87" s="1" t="s">
        <v>86</v>
      </c>
    </row>
    <row r="88" spans="1:7" x14ac:dyDescent="0.6">
      <c r="A88" s="2">
        <f t="shared" si="10"/>
        <v>87</v>
      </c>
      <c r="B88" s="1" t="s">
        <v>148</v>
      </c>
      <c r="D88" s="1">
        <f t="shared" si="12"/>
        <v>40</v>
      </c>
      <c r="E88" s="1" t="s">
        <v>8</v>
      </c>
      <c r="F88" s="3">
        <f>INDEX(people!$A$2:$A$125, MATCH(G88,people!$B$2:$B$125, 0))</f>
        <v>1850800312</v>
      </c>
      <c r="G88" s="1" t="s">
        <v>87</v>
      </c>
    </row>
    <row r="89" spans="1:7" x14ac:dyDescent="0.6">
      <c r="A89" s="2">
        <f t="shared" si="10"/>
        <v>88</v>
      </c>
      <c r="B89" s="1" t="s">
        <v>148</v>
      </c>
      <c r="D89" s="1">
        <f t="shared" si="12"/>
        <v>40</v>
      </c>
      <c r="E89" s="1" t="s">
        <v>8</v>
      </c>
      <c r="F89" s="3">
        <f>INDEX(people!$A$2:$A$125, MATCH(G89,people!$B$2:$B$125, 0))</f>
        <v>1680300330</v>
      </c>
      <c r="G89" s="1" t="s">
        <v>49</v>
      </c>
    </row>
    <row r="90" spans="1:7" x14ac:dyDescent="0.6">
      <c r="A90" s="2">
        <f t="shared" si="10"/>
        <v>89</v>
      </c>
      <c r="B90" s="1" t="s">
        <v>148</v>
      </c>
      <c r="D90" s="1">
        <f t="shared" si="12"/>
        <v>40</v>
      </c>
      <c r="E90" s="1" t="s">
        <v>8</v>
      </c>
      <c r="F90" s="3">
        <f>INDEX(people!$A$2:$A$125, MATCH(G90,people!$B$2:$B$125, 0))</f>
        <v>1730500353</v>
      </c>
      <c r="G90" s="1" t="s">
        <v>75</v>
      </c>
    </row>
    <row r="91" spans="1:7" x14ac:dyDescent="0.6">
      <c r="A91" s="2">
        <f t="shared" si="10"/>
        <v>90</v>
      </c>
      <c r="B91" s="1" t="s">
        <v>148</v>
      </c>
      <c r="D91" s="1">
        <f t="shared" si="12"/>
        <v>40</v>
      </c>
      <c r="E91" s="1" t="s">
        <v>8</v>
      </c>
      <c r="F91" s="3">
        <f>INDEX(people!$A$2:$A$125, MATCH(G91,people!$B$2:$B$125, 0))</f>
        <v>2930300284</v>
      </c>
      <c r="G91" s="1" t="s">
        <v>110</v>
      </c>
    </row>
    <row r="92" spans="1:7" x14ac:dyDescent="0.6">
      <c r="A92" s="2">
        <f t="shared" si="10"/>
        <v>91</v>
      </c>
      <c r="B92" s="1" t="s">
        <v>428</v>
      </c>
      <c r="D92" s="1">
        <f>$A$42</f>
        <v>41</v>
      </c>
      <c r="E92" s="1" t="s">
        <v>143</v>
      </c>
      <c r="F92" s="3">
        <f>INDEX(people!$A$2:$A$125, MATCH(G92,people!$B$2:$B$125, 0))</f>
        <v>1821000140</v>
      </c>
      <c r="G92" s="1" t="s">
        <v>66</v>
      </c>
    </row>
    <row r="93" spans="1:7" x14ac:dyDescent="0.6">
      <c r="A93" s="2">
        <f t="shared" si="10"/>
        <v>92</v>
      </c>
      <c r="B93" s="1" t="s">
        <v>428</v>
      </c>
      <c r="D93" s="1">
        <f t="shared" ref="D93:D97" si="13">$A$42</f>
        <v>41</v>
      </c>
      <c r="E93" s="1" t="s">
        <v>143</v>
      </c>
      <c r="F93" s="3">
        <f>INDEX(people!$A$2:$A$125, MATCH(G93,people!$B$2:$B$125, 0))</f>
        <v>1901200130</v>
      </c>
      <c r="G93" s="1" t="s">
        <v>92</v>
      </c>
    </row>
    <row r="94" spans="1:7" x14ac:dyDescent="0.6">
      <c r="A94" s="2">
        <f t="shared" si="10"/>
        <v>93</v>
      </c>
      <c r="B94" s="1" t="s">
        <v>149</v>
      </c>
      <c r="D94" s="1">
        <f t="shared" si="13"/>
        <v>41</v>
      </c>
      <c r="E94" s="1" t="s">
        <v>8</v>
      </c>
      <c r="F94" s="3">
        <f>INDEX(people!$A$2:$A$125, MATCH(G94,people!$B$2:$B$125, 0))</f>
        <v>2702100269</v>
      </c>
      <c r="G94" s="1" t="s">
        <v>64</v>
      </c>
    </row>
    <row r="95" spans="1:7" x14ac:dyDescent="0.6">
      <c r="A95" s="2">
        <f t="shared" si="10"/>
        <v>94</v>
      </c>
      <c r="B95" s="1" t="s">
        <v>149</v>
      </c>
      <c r="D95" s="1">
        <f t="shared" si="13"/>
        <v>41</v>
      </c>
      <c r="E95" s="1" t="s">
        <v>8</v>
      </c>
      <c r="F95" s="3">
        <f>INDEX(people!$A$2:$A$125, MATCH(G95,people!$B$2:$B$125, 0))</f>
        <v>1860300387</v>
      </c>
      <c r="G95" s="1" t="s">
        <v>67</v>
      </c>
    </row>
    <row r="96" spans="1:7" x14ac:dyDescent="0.6">
      <c r="A96" s="2">
        <f t="shared" si="10"/>
        <v>95</v>
      </c>
      <c r="B96" s="1" t="s">
        <v>149</v>
      </c>
      <c r="D96" s="1">
        <f t="shared" si="13"/>
        <v>41</v>
      </c>
      <c r="E96" s="1" t="s">
        <v>8</v>
      </c>
      <c r="F96" s="3">
        <f>INDEX(people!$A$2:$A$125, MATCH(G96,people!$B$2:$B$125, 0))</f>
        <v>2910300320</v>
      </c>
      <c r="G96" s="1" t="s">
        <v>68</v>
      </c>
    </row>
    <row r="97" spans="1:7" x14ac:dyDescent="0.6">
      <c r="A97" s="2">
        <f t="shared" si="10"/>
        <v>96</v>
      </c>
      <c r="B97" s="1" t="s">
        <v>149</v>
      </c>
      <c r="D97" s="1">
        <f t="shared" si="13"/>
        <v>41</v>
      </c>
      <c r="E97" s="1" t="s">
        <v>8</v>
      </c>
      <c r="F97" s="3">
        <f>INDEX(people!$A$2:$A$125, MATCH(G97,people!$B$2:$B$125, 0))</f>
        <v>2860300359</v>
      </c>
      <c r="G97" s="1" t="s">
        <v>93</v>
      </c>
    </row>
    <row r="98" spans="1:7" x14ac:dyDescent="0.6">
      <c r="A98" s="2">
        <f t="shared" si="10"/>
        <v>97</v>
      </c>
      <c r="B98" s="1" t="s">
        <v>150</v>
      </c>
      <c r="D98" s="1">
        <f>$A$43</f>
        <v>42</v>
      </c>
      <c r="E98" s="1" t="s">
        <v>8</v>
      </c>
      <c r="F98" s="3">
        <f>INDEX(people!$A$2:$A$125, MATCH(G98,people!$B$2:$B$125, 0))</f>
        <v>1730300451</v>
      </c>
      <c r="G98" s="1" t="s">
        <v>100</v>
      </c>
    </row>
    <row r="99" spans="1:7" x14ac:dyDescent="0.6">
      <c r="A99" s="2">
        <f t="shared" si="10"/>
        <v>98</v>
      </c>
      <c r="B99" s="1" t="s">
        <v>150</v>
      </c>
      <c r="D99" s="1">
        <f>$A$43</f>
        <v>42</v>
      </c>
      <c r="E99" s="1" t="s">
        <v>8</v>
      </c>
      <c r="F99" s="3">
        <f>INDEX(people!$A$2:$A$125, MATCH(G99,people!$B$2:$B$125, 0))</f>
        <v>1942000040</v>
      </c>
      <c r="G99" s="1" t="s">
        <v>111</v>
      </c>
    </row>
    <row r="100" spans="1:7" x14ac:dyDescent="0.6">
      <c r="A100" s="2">
        <f t="shared" si="10"/>
        <v>99</v>
      </c>
      <c r="B100" s="1" t="s">
        <v>429</v>
      </c>
      <c r="D100" s="1">
        <f>$A$45</f>
        <v>44</v>
      </c>
      <c r="E100" s="1" t="s">
        <v>143</v>
      </c>
      <c r="F100" s="3">
        <f>INDEX(people!$A$2:$A$125, MATCH(G100,people!$B$2:$B$125, 0))</f>
        <v>2000300183</v>
      </c>
      <c r="G100" s="1" t="s">
        <v>117</v>
      </c>
    </row>
    <row r="101" spans="1:7" x14ac:dyDescent="0.6">
      <c r="A101" s="2">
        <f t="shared" si="10"/>
        <v>100</v>
      </c>
      <c r="B101" s="1" t="s">
        <v>401</v>
      </c>
      <c r="D101" s="1">
        <f t="shared" ref="D101:D102" si="14">$A$45</f>
        <v>44</v>
      </c>
      <c r="E101" s="1" t="s">
        <v>8</v>
      </c>
      <c r="F101" s="3">
        <f>INDEX(people!$A$2:$A$125, MATCH(G101,people!$B$2:$B$125, 0))</f>
        <v>1910800280</v>
      </c>
      <c r="G101" s="1" t="s">
        <v>71</v>
      </c>
    </row>
    <row r="102" spans="1:7" x14ac:dyDescent="0.6">
      <c r="A102" s="2">
        <f t="shared" si="10"/>
        <v>101</v>
      </c>
      <c r="B102" s="1" t="s">
        <v>401</v>
      </c>
      <c r="D102" s="1">
        <f t="shared" si="14"/>
        <v>44</v>
      </c>
      <c r="E102" s="1" t="s">
        <v>8</v>
      </c>
      <c r="F102" s="3">
        <f>INDEX(people!$A$2:$A$125, MATCH(G102,people!$B$2:$B$125, 0))</f>
        <v>1811400192</v>
      </c>
      <c r="G102" s="1" t="s">
        <v>72</v>
      </c>
    </row>
    <row r="103" spans="1:7" x14ac:dyDescent="0.6">
      <c r="A103" s="2">
        <f t="shared" si="10"/>
        <v>102</v>
      </c>
      <c r="B103" s="1" t="s">
        <v>430</v>
      </c>
      <c r="D103" s="1">
        <f>$A$46</f>
        <v>45</v>
      </c>
      <c r="E103" s="1" t="s">
        <v>143</v>
      </c>
      <c r="F103" s="3">
        <f>INDEX(people!$A$2:$A$125, MATCH(G103,people!$B$2:$B$125, 0))</f>
        <v>1870300100</v>
      </c>
      <c r="G103" s="1" t="s">
        <v>104</v>
      </c>
    </row>
    <row r="104" spans="1:7" x14ac:dyDescent="0.6">
      <c r="A104" s="2">
        <f t="shared" si="10"/>
        <v>103</v>
      </c>
      <c r="B104" s="1" t="s">
        <v>431</v>
      </c>
      <c r="D104" s="1">
        <f>$A$47</f>
        <v>46</v>
      </c>
      <c r="E104" s="1" t="s">
        <v>143</v>
      </c>
      <c r="F104" s="3">
        <f>INDEX(people!$A$2:$A$125, MATCH(G104,people!$B$2:$B$125, 0))</f>
        <v>1680300367</v>
      </c>
      <c r="G104" s="1" t="s">
        <v>80</v>
      </c>
    </row>
    <row r="105" spans="1:7" x14ac:dyDescent="0.6">
      <c r="A105" s="2">
        <f t="shared" si="10"/>
        <v>104</v>
      </c>
      <c r="B105" s="1" t="s">
        <v>151</v>
      </c>
      <c r="D105" s="1">
        <f>$A$47</f>
        <v>46</v>
      </c>
      <c r="E105" s="1" t="s">
        <v>8</v>
      </c>
      <c r="F105" s="3">
        <f>INDEX(people!$A$2:$A$125, MATCH(G105,people!$B$2:$B$125, 0))</f>
        <v>2680300175</v>
      </c>
      <c r="G105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12 E1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5"/>
  <sheetViews>
    <sheetView topLeftCell="A64" zoomScale="104" zoomScaleNormal="104" workbookViewId="0">
      <selection activeCell="B68" sqref="B68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8.08984375" style="6" customWidth="1"/>
    <col min="6" max="6" width="12.7265625" bestFit="1" customWidth="1"/>
    <col min="7" max="7" width="12.179687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152</v>
      </c>
      <c r="E1" s="6" t="s">
        <v>433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277</v>
      </c>
      <c r="D2" t="s">
        <v>153</v>
      </c>
      <c r="E2" s="6" t="s">
        <v>434</v>
      </c>
      <c r="F2" t="s">
        <v>7</v>
      </c>
      <c r="G2" t="str">
        <f>VLOOKUP(D2,data!$C$2:$U$103,5,FALSE)</f>
        <v>012 989 336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278</v>
      </c>
      <c r="D3" t="s">
        <v>154</v>
      </c>
      <c r="E3" s="6" t="s">
        <v>434</v>
      </c>
      <c r="F3" t="s">
        <v>7</v>
      </c>
      <c r="G3" t="str">
        <f>VLOOKUP(D3,data!$C$2:$U$103,5,FALSE)</f>
        <v>016 720 128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279</v>
      </c>
      <c r="D4" t="s">
        <v>155</v>
      </c>
      <c r="E4" s="6" t="s">
        <v>434</v>
      </c>
      <c r="F4" t="s">
        <v>7</v>
      </c>
      <c r="G4" t="str">
        <f>VLOOKUP(D4,data!$C$2:$U$103,5,FALSE)</f>
        <v>012 218 911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280</v>
      </c>
      <c r="D5" t="s">
        <v>156</v>
      </c>
      <c r="E5" s="6" t="s">
        <v>434</v>
      </c>
      <c r="G5" t="str">
        <f>VLOOKUP(D5,data!$C$2:$U$103,5,FALSE)</f>
        <v>012 315 091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281</v>
      </c>
      <c r="D6" t="s">
        <v>157</v>
      </c>
      <c r="E6" s="6" t="s">
        <v>435</v>
      </c>
      <c r="F6" t="s">
        <v>7</v>
      </c>
      <c r="G6" t="str">
        <f>VLOOKUP(D6,data!$C$2:$U$103,5,FALSE)</f>
        <v>076 999 3832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282</v>
      </c>
      <c r="D7" t="s">
        <v>158</v>
      </c>
      <c r="E7" s="6" t="s">
        <v>434</v>
      </c>
      <c r="F7" t="s">
        <v>7</v>
      </c>
      <c r="G7" t="str">
        <f>VLOOKUP(D7,data!$C$2:$U$103,5,FALSE)</f>
        <v>099 880 110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283</v>
      </c>
      <c r="D8" t="s">
        <v>159</v>
      </c>
      <c r="E8" s="6" t="s">
        <v>434</v>
      </c>
      <c r="F8" t="s">
        <v>7</v>
      </c>
      <c r="G8" t="str">
        <f>VLOOKUP(D8,data!$C$2:$U$103,5,FALSE)</f>
        <v>092 689 922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284</v>
      </c>
      <c r="D9" t="s">
        <v>160</v>
      </c>
      <c r="E9" s="6" t="s">
        <v>434</v>
      </c>
      <c r="F9" t="s">
        <v>7</v>
      </c>
      <c r="G9" t="str">
        <f>VLOOKUP(D9,data!$C$2:$U$103,5,FALSE)</f>
        <v>078 829 990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285</v>
      </c>
      <c r="D10" t="s">
        <v>161</v>
      </c>
      <c r="E10" s="6" t="s">
        <v>435</v>
      </c>
      <c r="F10" t="s">
        <v>7</v>
      </c>
      <c r="G10" t="str">
        <f>VLOOKUP(D10,data!$C$2:$U$103,5,FALSE)</f>
        <v>012 626 057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286</v>
      </c>
      <c r="D11" t="s">
        <v>162</v>
      </c>
      <c r="E11" s="6" t="s">
        <v>435</v>
      </c>
      <c r="F11" t="s">
        <v>7</v>
      </c>
      <c r="G11" t="str">
        <f>VLOOKUP(D11,data!$C$2:$U$103,5,FALSE)</f>
        <v>096 570 4177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287</v>
      </c>
      <c r="D12" t="s">
        <v>163</v>
      </c>
      <c r="E12" s="6" t="s">
        <v>434</v>
      </c>
      <c r="F12" t="s">
        <v>7</v>
      </c>
      <c r="G12" t="str">
        <f>VLOOKUP(D12,data!$C$2:$U$103,5,FALSE)</f>
        <v>012 897 651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288</v>
      </c>
      <c r="D13" t="s">
        <v>164</v>
      </c>
      <c r="E13" s="6" t="s">
        <v>435</v>
      </c>
      <c r="F13" t="s">
        <v>7</v>
      </c>
      <c r="G13">
        <f>VLOOKUP(D13,data!$C$2:$U$103,5,FALSE)</f>
        <v>0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289</v>
      </c>
      <c r="D14" t="s">
        <v>165</v>
      </c>
      <c r="E14" s="6" t="s">
        <v>434</v>
      </c>
      <c r="F14" t="s">
        <v>7</v>
      </c>
      <c r="G14" t="str">
        <f>VLOOKUP(D14,data!$C$2:$U$103,5,FALSE)</f>
        <v>092 402 727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290</v>
      </c>
      <c r="D15" t="s">
        <v>166</v>
      </c>
      <c r="E15" s="6" t="s">
        <v>434</v>
      </c>
      <c r="F15" t="s">
        <v>7</v>
      </c>
      <c r="G15" t="str">
        <f>VLOOKUP(D15,data!$C$2:$U$103,5,FALSE)</f>
        <v>017 887 400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291</v>
      </c>
      <c r="D16" t="s">
        <v>167</v>
      </c>
      <c r="E16" s="6" t="s">
        <v>435</v>
      </c>
      <c r="F16" t="s">
        <v>7</v>
      </c>
      <c r="G16" t="str">
        <f>VLOOKUP(D16,data!$C$2:$U$103,5,FALSE)</f>
        <v>012 438 428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292</v>
      </c>
      <c r="D17" t="s">
        <v>168</v>
      </c>
      <c r="E17" s="6" t="s">
        <v>434</v>
      </c>
      <c r="F17" t="s">
        <v>7</v>
      </c>
      <c r="G17" t="str">
        <f>VLOOKUP(D17,data!$C$2:$U$103,5,FALSE)</f>
        <v>012 764 206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293</v>
      </c>
      <c r="D18" t="s">
        <v>169</v>
      </c>
      <c r="E18" s="6" t="s">
        <v>435</v>
      </c>
      <c r="F18" t="s">
        <v>7</v>
      </c>
      <c r="G18" t="str">
        <f>VLOOKUP(D18,data!$C$2:$U$103,5,FALSE)</f>
        <v>011 740 192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294</v>
      </c>
      <c r="D19" t="s">
        <v>170</v>
      </c>
      <c r="E19" s="6" t="s">
        <v>435</v>
      </c>
      <c r="F19" t="s">
        <v>7</v>
      </c>
      <c r="G19" t="str">
        <f>VLOOKUP(D19,data!$C$2:$U$103,5,FALSE)</f>
        <v>017 659 547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295</v>
      </c>
      <c r="D20" t="s">
        <v>171</v>
      </c>
      <c r="E20" s="6" t="s">
        <v>435</v>
      </c>
      <c r="F20" t="s">
        <v>7</v>
      </c>
      <c r="G20" t="str">
        <f>VLOOKUP(D20,data!$C$2:$U$103,5,FALSE)</f>
        <v>086 606 996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t="s">
        <v>296</v>
      </c>
      <c r="D21" t="s">
        <v>172</v>
      </c>
      <c r="E21" s="6" t="s">
        <v>435</v>
      </c>
      <c r="F21" t="s">
        <v>7</v>
      </c>
      <c r="G21" t="e">
        <f>VLOOKUP(D21,data!$C$2:$U$103,5,FALSE)</f>
        <v>#N/A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297</v>
      </c>
      <c r="D22" t="s">
        <v>173</v>
      </c>
      <c r="E22" s="6" t="s">
        <v>434</v>
      </c>
      <c r="F22" t="s">
        <v>7</v>
      </c>
      <c r="G22" t="str">
        <f>VLOOKUP(D22,data!$C$2:$U$103,5,FALSE)</f>
        <v>012 430 024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298</v>
      </c>
      <c r="D23" t="s">
        <v>174</v>
      </c>
      <c r="E23" s="6" t="s">
        <v>435</v>
      </c>
      <c r="F23" t="s">
        <v>7</v>
      </c>
      <c r="G23" t="str">
        <f>VLOOKUP(D23,data!$C$2:$U$103,5,FALSE)</f>
        <v>011 992 233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299</v>
      </c>
      <c r="D24" t="s">
        <v>175</v>
      </c>
      <c r="E24" s="6" t="s">
        <v>435</v>
      </c>
      <c r="F24" t="s">
        <v>7</v>
      </c>
      <c r="G24" t="str">
        <f>VLOOKUP(D24,data!$C$2:$U$103,5,FALSE)</f>
        <v>017 650 480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t="s">
        <v>300</v>
      </c>
      <c r="D25" t="s">
        <v>176</v>
      </c>
      <c r="E25" s="6" t="s">
        <v>435</v>
      </c>
      <c r="F25" t="s">
        <v>7</v>
      </c>
      <c r="G25" t="e">
        <f>VLOOKUP(D25,data!$C$2:$U$103,5,FALSE)</f>
        <v>#N/A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301</v>
      </c>
      <c r="D26" t="s">
        <v>177</v>
      </c>
      <c r="E26" s="6" t="s">
        <v>434</v>
      </c>
      <c r="F26" t="s">
        <v>7</v>
      </c>
      <c r="G26" t="str">
        <f>VLOOKUP(D26,data!$C$2:$U$103,5,FALSE)</f>
        <v>012 937 579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302</v>
      </c>
      <c r="D27" t="s">
        <v>178</v>
      </c>
      <c r="E27" s="6" t="s">
        <v>434</v>
      </c>
      <c r="F27" t="s">
        <v>7</v>
      </c>
      <c r="G27" t="str">
        <f>VLOOKUP(D27,data!$C$2:$U$103,5,FALSE)</f>
        <v>095 993 167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303</v>
      </c>
      <c r="D28" t="s">
        <v>179</v>
      </c>
      <c r="E28" s="6" t="s">
        <v>434</v>
      </c>
      <c r="F28" t="s">
        <v>7</v>
      </c>
      <c r="G28" t="str">
        <f>VLOOKUP(D28,data!$C$2:$U$103,5,FALSE)</f>
        <v>012 322 701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304</v>
      </c>
      <c r="D29" t="s">
        <v>180</v>
      </c>
      <c r="E29" s="6" t="s">
        <v>434</v>
      </c>
      <c r="F29" t="s">
        <v>7</v>
      </c>
      <c r="G29" t="str">
        <f>VLOOKUP(D29,data!$C$2:$U$103,5,FALSE)</f>
        <v>078 936 167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305</v>
      </c>
      <c r="D30" t="s">
        <v>181</v>
      </c>
      <c r="E30" s="6" t="s">
        <v>434</v>
      </c>
      <c r="F30" t="s">
        <v>7</v>
      </c>
      <c r="G30" t="str">
        <f>VLOOKUP(D30,data!$C$2:$U$103,5,FALSE)</f>
        <v>012 202 987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306</v>
      </c>
      <c r="D31" t="s">
        <v>182</v>
      </c>
      <c r="E31" s="6" t="s">
        <v>435</v>
      </c>
      <c r="F31" t="s">
        <v>7</v>
      </c>
      <c r="G31" t="str">
        <f>VLOOKUP(D31,data!$C$2:$U$103,5,FALSE)</f>
        <v>010 395 278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307</v>
      </c>
      <c r="D32" t="s">
        <v>183</v>
      </c>
      <c r="E32" s="6" t="s">
        <v>435</v>
      </c>
      <c r="F32" t="s">
        <v>7</v>
      </c>
      <c r="G32" t="str">
        <f>VLOOKUP(D32,data!$C$2:$U$103,5,FALSE)</f>
        <v>012 270 266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308</v>
      </c>
      <c r="D33" t="s">
        <v>184</v>
      </c>
      <c r="E33" s="6" t="s">
        <v>434</v>
      </c>
      <c r="F33" t="s">
        <v>7</v>
      </c>
      <c r="G33" t="str">
        <f>VLOOKUP(D33,data!$C$2:$U$103,5,FALSE)</f>
        <v>017 627 545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309</v>
      </c>
      <c r="D34" t="s">
        <v>185</v>
      </c>
      <c r="E34" s="6" t="s">
        <v>435</v>
      </c>
      <c r="F34" t="s">
        <v>7</v>
      </c>
      <c r="G34" t="str">
        <f>VLOOKUP(D34,data!$C$2:$U$103,5,FALSE)</f>
        <v>088 420 0517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310</v>
      </c>
      <c r="D35" t="s">
        <v>186</v>
      </c>
      <c r="E35" s="6" t="s">
        <v>435</v>
      </c>
      <c r="F35" t="s">
        <v>7</v>
      </c>
      <c r="G35" t="str">
        <f>VLOOKUP(D35,data!$C$2:$U$103,5,FALSE)</f>
        <v>089 544 911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311</v>
      </c>
      <c r="D36" t="s">
        <v>187</v>
      </c>
      <c r="E36" s="6" t="s">
        <v>434</v>
      </c>
      <c r="F36" t="s">
        <v>7</v>
      </c>
      <c r="G36" t="str">
        <f>VLOOKUP(D36,data!$C$2:$U$103,5,FALSE)</f>
        <v>010 425 656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312</v>
      </c>
      <c r="D37" t="s">
        <v>188</v>
      </c>
      <c r="E37" s="6" t="s">
        <v>434</v>
      </c>
      <c r="F37" t="s">
        <v>7</v>
      </c>
      <c r="G37" t="str">
        <f>VLOOKUP(D37,data!$C$2:$U$103,5,FALSE)</f>
        <v>097 922 7898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313</v>
      </c>
      <c r="D38" t="s">
        <v>189</v>
      </c>
      <c r="E38" s="6" t="s">
        <v>435</v>
      </c>
      <c r="F38" t="s">
        <v>7</v>
      </c>
      <c r="G38" t="str">
        <f>VLOOKUP(D38,data!$C$2:$U$103,5,FALSE)</f>
        <v>096 594 3920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314</v>
      </c>
      <c r="D39" t="s">
        <v>190</v>
      </c>
      <c r="E39" s="6" t="s">
        <v>434</v>
      </c>
      <c r="F39" t="s">
        <v>7</v>
      </c>
      <c r="G39" t="str">
        <f>VLOOKUP(D39,data!$C$2:$U$103,5,FALSE)</f>
        <v>011 779 750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315</v>
      </c>
      <c r="D40" t="s">
        <v>191</v>
      </c>
      <c r="E40" s="6" t="s">
        <v>435</v>
      </c>
      <c r="F40" t="s">
        <v>7</v>
      </c>
      <c r="G40" t="str">
        <f>VLOOKUP(D40,data!$C$2:$U$103,5,FALSE)</f>
        <v>012 774 020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316</v>
      </c>
      <c r="D41" t="s">
        <v>192</v>
      </c>
      <c r="E41" s="6" t="s">
        <v>435</v>
      </c>
      <c r="F41" t="s">
        <v>7</v>
      </c>
      <c r="G41" t="str">
        <f>VLOOKUP(D41,data!$C$2:$U$103,5,FALSE)</f>
        <v>089 881 846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317</v>
      </c>
      <c r="D42" t="s">
        <v>193</v>
      </c>
      <c r="E42" s="6" t="s">
        <v>434</v>
      </c>
      <c r="F42" t="s">
        <v>7</v>
      </c>
      <c r="G42" t="str">
        <f>VLOOKUP(D42,data!$C$2:$U$103,5,FALSE)</f>
        <v>092 382 838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318</v>
      </c>
      <c r="D43" t="s">
        <v>194</v>
      </c>
      <c r="E43" s="6" t="s">
        <v>434</v>
      </c>
      <c r="F43" t="s">
        <v>7</v>
      </c>
      <c r="G43" t="str">
        <f>VLOOKUP(D43,data!$C$2:$U$103,5,FALSE)</f>
        <v>092 777 221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319</v>
      </c>
      <c r="D44" t="s">
        <v>195</v>
      </c>
      <c r="E44" s="6" t="s">
        <v>434</v>
      </c>
      <c r="F44" t="s">
        <v>7</v>
      </c>
      <c r="G44" t="str">
        <f>VLOOKUP(D44,data!$C$2:$U$103,5,FALSE)</f>
        <v>092 605 484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320</v>
      </c>
      <c r="D45" t="s">
        <v>196</v>
      </c>
      <c r="E45" s="6" t="s">
        <v>434</v>
      </c>
      <c r="F45" t="s">
        <v>7</v>
      </c>
      <c r="G45" t="str">
        <f>VLOOKUP(D45,data!$C$2:$U$103,5,FALSE)</f>
        <v>077 510 721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321</v>
      </c>
      <c r="D46" t="s">
        <v>197</v>
      </c>
      <c r="E46" s="6" t="s">
        <v>434</v>
      </c>
      <c r="G46" t="str">
        <f>VLOOKUP(D46,data!$C$2:$U$103,5,FALSE)</f>
        <v>012 305 156</v>
      </c>
    </row>
    <row r="47" spans="1:12" x14ac:dyDescent="0.5">
      <c r="A47" s="5">
        <v>2820300165</v>
      </c>
      <c r="B47" s="6" t="s">
        <v>63</v>
      </c>
      <c r="C47" t="s">
        <v>322</v>
      </c>
      <c r="D47" t="s">
        <v>198</v>
      </c>
      <c r="E47" s="6" t="s">
        <v>435</v>
      </c>
      <c r="G47" t="str">
        <f>VLOOKUP(D47,data!$C$2:$U$103,5,FALSE)</f>
        <v>012 214 128</v>
      </c>
    </row>
    <row r="48" spans="1:12" x14ac:dyDescent="0.5">
      <c r="A48" s="5">
        <v>2702100269</v>
      </c>
      <c r="B48" s="6" t="s">
        <v>64</v>
      </c>
      <c r="C48" t="s">
        <v>323</v>
      </c>
      <c r="D48" t="s">
        <v>199</v>
      </c>
      <c r="E48" s="6" t="s">
        <v>435</v>
      </c>
      <c r="G48" t="str">
        <f>VLOOKUP(D48,data!$C$2:$U$103,5,FALSE)</f>
        <v>077 499 776</v>
      </c>
    </row>
    <row r="49" spans="1:7" x14ac:dyDescent="0.5">
      <c r="A49" s="5">
        <v>1872100269</v>
      </c>
      <c r="B49" s="6" t="s">
        <v>65</v>
      </c>
      <c r="C49" t="s">
        <v>324</v>
      </c>
      <c r="D49" t="s">
        <v>200</v>
      </c>
      <c r="E49" s="6" t="s">
        <v>434</v>
      </c>
      <c r="G49" t="str">
        <f>VLOOKUP(D49,data!$C$2:$U$103,5,FALSE)</f>
        <v>088 666 6584</v>
      </c>
    </row>
    <row r="50" spans="1:7" x14ac:dyDescent="0.5">
      <c r="A50" s="5">
        <v>1821000140</v>
      </c>
      <c r="B50" s="6" t="s">
        <v>66</v>
      </c>
      <c r="C50" t="s">
        <v>325</v>
      </c>
      <c r="D50" t="s">
        <v>201</v>
      </c>
      <c r="E50" s="6" t="s">
        <v>434</v>
      </c>
      <c r="G50" t="str">
        <f>VLOOKUP(D50,data!$C$2:$U$103,5,FALSE)</f>
        <v>012 642 528</v>
      </c>
    </row>
    <row r="51" spans="1:7" x14ac:dyDescent="0.5">
      <c r="A51" s="5">
        <v>1860300387</v>
      </c>
      <c r="B51" s="6" t="s">
        <v>67</v>
      </c>
      <c r="C51" t="s">
        <v>326</v>
      </c>
      <c r="D51" t="s">
        <v>202</v>
      </c>
      <c r="E51" s="6" t="s">
        <v>434</v>
      </c>
      <c r="G51" t="str">
        <f>VLOOKUP(D51,data!$C$2:$U$103,5,FALSE)</f>
        <v>017 687 802</v>
      </c>
    </row>
    <row r="52" spans="1:7" x14ac:dyDescent="0.5">
      <c r="A52" s="5">
        <v>2910300320</v>
      </c>
      <c r="B52" s="6" t="s">
        <v>68</v>
      </c>
      <c r="C52" t="s">
        <v>327</v>
      </c>
      <c r="D52" t="s">
        <v>203</v>
      </c>
      <c r="E52" s="6" t="s">
        <v>435</v>
      </c>
      <c r="G52" t="str">
        <f>VLOOKUP(D52,data!$C$2:$U$103,5,FALSE)</f>
        <v>096 285 9414</v>
      </c>
    </row>
    <row r="53" spans="1:7" x14ac:dyDescent="0.5">
      <c r="A53" s="5">
        <v>1920300331</v>
      </c>
      <c r="B53" s="6" t="s">
        <v>69</v>
      </c>
      <c r="C53" t="s">
        <v>328</v>
      </c>
      <c r="D53" t="s">
        <v>204</v>
      </c>
      <c r="E53" s="6" t="s">
        <v>434</v>
      </c>
      <c r="G53" t="str">
        <f>VLOOKUP(D53,data!$C$2:$U$103,5,FALSE)</f>
        <v>010 365 233</v>
      </c>
    </row>
    <row r="54" spans="1:7" x14ac:dyDescent="0.5">
      <c r="A54" s="5">
        <v>1904800001</v>
      </c>
      <c r="B54" s="6" t="s">
        <v>70</v>
      </c>
      <c r="C54" t="s">
        <v>329</v>
      </c>
      <c r="D54" t="s">
        <v>205</v>
      </c>
      <c r="E54" s="6" t="s">
        <v>434</v>
      </c>
      <c r="G54" t="str">
        <f>VLOOKUP(D54,data!$C$2:$U$103,5,FALSE)</f>
        <v>085 616 633</v>
      </c>
    </row>
    <row r="55" spans="1:7" x14ac:dyDescent="0.5">
      <c r="A55" s="5">
        <v>1910800280</v>
      </c>
      <c r="B55" s="6" t="s">
        <v>71</v>
      </c>
      <c r="C55" t="s">
        <v>330</v>
      </c>
      <c r="D55" t="s">
        <v>206</v>
      </c>
      <c r="E55" s="6" t="s">
        <v>434</v>
      </c>
      <c r="G55" t="str">
        <f>VLOOKUP(D55,data!$C$2:$U$103,5,FALSE)</f>
        <v>096 393 9987</v>
      </c>
    </row>
    <row r="56" spans="1:7" x14ac:dyDescent="0.5">
      <c r="A56" s="5">
        <v>1811400192</v>
      </c>
      <c r="B56" s="6" t="s">
        <v>72</v>
      </c>
      <c r="C56" t="s">
        <v>331</v>
      </c>
      <c r="D56" t="s">
        <v>207</v>
      </c>
      <c r="E56" s="6" t="s">
        <v>434</v>
      </c>
      <c r="G56" t="str">
        <f>VLOOKUP(D56,data!$C$2:$U$103,5,FALSE)</f>
        <v>015 529 398</v>
      </c>
    </row>
    <row r="57" spans="1:7" x14ac:dyDescent="0.5">
      <c r="A57" s="5">
        <v>2840300235</v>
      </c>
      <c r="B57" s="6" t="s">
        <v>73</v>
      </c>
      <c r="C57" t="s">
        <v>332</v>
      </c>
      <c r="D57" t="s">
        <v>208</v>
      </c>
      <c r="E57" s="6" t="s">
        <v>435</v>
      </c>
      <c r="G57" t="str">
        <f>VLOOKUP(D57,data!$C$2:$U$103,5,FALSE)</f>
        <v>012 404 841</v>
      </c>
    </row>
    <row r="58" spans="1:7" x14ac:dyDescent="0.5">
      <c r="A58" s="5">
        <v>1680300327</v>
      </c>
      <c r="B58" s="6" t="s">
        <v>74</v>
      </c>
      <c r="C58" t="s">
        <v>333</v>
      </c>
      <c r="D58" t="s">
        <v>209</v>
      </c>
      <c r="E58" s="6" t="s">
        <v>434</v>
      </c>
      <c r="G58" t="str">
        <f>VLOOKUP(D58,data!$C$2:$U$103,5,FALSE)</f>
        <v>097 999 2928</v>
      </c>
    </row>
    <row r="59" spans="1:7" x14ac:dyDescent="0.5">
      <c r="A59" s="5">
        <v>1730500353</v>
      </c>
      <c r="B59" s="6" t="s">
        <v>75</v>
      </c>
      <c r="C59" t="s">
        <v>334</v>
      </c>
      <c r="D59" t="s">
        <v>210</v>
      </c>
      <c r="E59" s="6" t="s">
        <v>434</v>
      </c>
      <c r="G59" t="str">
        <f>VLOOKUP(D59,data!$C$2:$U$103,5,FALSE)</f>
        <v>016 459 757</v>
      </c>
    </row>
    <row r="60" spans="1:7" x14ac:dyDescent="0.5">
      <c r="A60" s="5">
        <v>1930700107</v>
      </c>
      <c r="B60" s="6" t="s">
        <v>76</v>
      </c>
      <c r="C60" t="s">
        <v>335</v>
      </c>
      <c r="D60" t="s">
        <v>211</v>
      </c>
      <c r="E60" s="6" t="s">
        <v>434</v>
      </c>
      <c r="G60" t="str">
        <f>VLOOKUP(D60,data!$C$2:$U$103,5,FALSE)</f>
        <v>096 995 6036</v>
      </c>
    </row>
    <row r="61" spans="1:7" x14ac:dyDescent="0.5">
      <c r="A61" s="5">
        <v>1680800830</v>
      </c>
      <c r="B61" s="6" t="s">
        <v>77</v>
      </c>
      <c r="C61" t="s">
        <v>336</v>
      </c>
      <c r="D61" t="s">
        <v>212</v>
      </c>
      <c r="E61" s="6" t="s">
        <v>434</v>
      </c>
      <c r="G61" t="str">
        <f>VLOOKUP(D61,data!$C$2:$U$103,5,FALSE)</f>
        <v>012 433 143</v>
      </c>
    </row>
    <row r="62" spans="1:7" x14ac:dyDescent="0.5">
      <c r="A62" s="5">
        <v>2690300192</v>
      </c>
      <c r="B62" s="6" t="s">
        <v>78</v>
      </c>
      <c r="C62" t="s">
        <v>337</v>
      </c>
      <c r="D62" t="s">
        <v>213</v>
      </c>
      <c r="E62" s="6" t="s">
        <v>435</v>
      </c>
      <c r="G62" t="str">
        <f>VLOOKUP(D62,data!$C$2:$U$103,5,FALSE)</f>
        <v>077 559 967</v>
      </c>
    </row>
    <row r="63" spans="1:7" x14ac:dyDescent="0.5">
      <c r="A63" s="5">
        <v>1800800450</v>
      </c>
      <c r="B63" s="6" t="s">
        <v>79</v>
      </c>
      <c r="C63" t="s">
        <v>338</v>
      </c>
      <c r="D63" t="s">
        <v>214</v>
      </c>
      <c r="E63" s="6" t="s">
        <v>434</v>
      </c>
      <c r="G63" t="str">
        <f>VLOOKUP(D63,data!$C$2:$U$103,5,FALSE)</f>
        <v>092 737 648</v>
      </c>
    </row>
    <row r="64" spans="1:7" x14ac:dyDescent="0.5">
      <c r="A64" s="5">
        <v>1680300367</v>
      </c>
      <c r="B64" s="6" t="s">
        <v>80</v>
      </c>
      <c r="C64" t="s">
        <v>339</v>
      </c>
      <c r="D64" t="s">
        <v>215</v>
      </c>
      <c r="E64" s="6" t="s">
        <v>434</v>
      </c>
      <c r="G64" t="str">
        <f>VLOOKUP(D64,data!$C$2:$U$103,5,FALSE)</f>
        <v>092 902 511</v>
      </c>
    </row>
    <row r="65" spans="1:7" x14ac:dyDescent="0.5">
      <c r="A65" s="5">
        <v>2680300173</v>
      </c>
      <c r="B65" s="6" t="s">
        <v>81</v>
      </c>
      <c r="C65" t="s">
        <v>340</v>
      </c>
      <c r="D65" t="s">
        <v>216</v>
      </c>
      <c r="E65" s="6" t="s">
        <v>435</v>
      </c>
      <c r="G65" t="str">
        <f>VLOOKUP(D65,data!$C$2:$U$103,5,FALSE)</f>
        <v>012 550 812</v>
      </c>
    </row>
    <row r="66" spans="1:7" x14ac:dyDescent="0.5">
      <c r="A66" s="5">
        <v>1831200363</v>
      </c>
      <c r="B66" s="6" t="s">
        <v>82</v>
      </c>
      <c r="C66" t="s">
        <v>341</v>
      </c>
      <c r="D66" t="s">
        <v>217</v>
      </c>
      <c r="E66" s="6" t="s">
        <v>434</v>
      </c>
      <c r="G66" t="str">
        <f>VLOOKUP(D66,data!$C$2:$U$103,5,FALSE)</f>
        <v>010 420 637</v>
      </c>
    </row>
    <row r="67" spans="1:7" x14ac:dyDescent="0.5">
      <c r="A67" s="5">
        <v>1860300283</v>
      </c>
      <c r="B67" s="6" t="s">
        <v>690</v>
      </c>
      <c r="C67" t="s">
        <v>342</v>
      </c>
      <c r="D67" t="s">
        <v>218</v>
      </c>
      <c r="E67" s="6" t="s">
        <v>434</v>
      </c>
      <c r="G67" t="str">
        <f>VLOOKUP(D67,data!$C$2:$U$103,5,FALSE)</f>
        <v>099 283 783</v>
      </c>
    </row>
    <row r="68" spans="1:7" x14ac:dyDescent="0.5">
      <c r="A68" s="5">
        <v>2830300017</v>
      </c>
      <c r="B68" s="6" t="s">
        <v>83</v>
      </c>
      <c r="C68" t="s">
        <v>343</v>
      </c>
      <c r="D68" t="s">
        <v>219</v>
      </c>
      <c r="E68" s="6" t="s">
        <v>435</v>
      </c>
      <c r="G68" t="str">
        <f>VLOOKUP(D68,data!$C$2:$U$103,5,FALSE)</f>
        <v>012 933 475</v>
      </c>
    </row>
    <row r="69" spans="1:7" x14ac:dyDescent="0.5">
      <c r="A69" s="5">
        <v>1901200129</v>
      </c>
      <c r="B69" s="6" t="s">
        <v>84</v>
      </c>
      <c r="C69" t="s">
        <v>344</v>
      </c>
      <c r="D69" t="s">
        <v>220</v>
      </c>
      <c r="E69" s="6" t="s">
        <v>434</v>
      </c>
      <c r="G69" t="str">
        <f>VLOOKUP(D69,data!$C$2:$U$103,5,FALSE)</f>
        <v>089 930 667</v>
      </c>
    </row>
    <row r="70" spans="1:7" x14ac:dyDescent="0.5">
      <c r="A70" s="5">
        <v>2670800184</v>
      </c>
      <c r="B70" s="6" t="s">
        <v>85</v>
      </c>
      <c r="C70" t="s">
        <v>345</v>
      </c>
      <c r="D70" t="s">
        <v>221</v>
      </c>
      <c r="E70" s="6" t="s">
        <v>435</v>
      </c>
      <c r="G70" t="str">
        <f>VLOOKUP(D70,data!$C$2:$U$103,5,FALSE)</f>
        <v>011 403 688</v>
      </c>
    </row>
    <row r="71" spans="1:7" x14ac:dyDescent="0.5">
      <c r="A71" s="5">
        <v>1840300396</v>
      </c>
      <c r="B71" s="6" t="s">
        <v>86</v>
      </c>
      <c r="C71" t="s">
        <v>346</v>
      </c>
      <c r="D71" t="s">
        <v>222</v>
      </c>
      <c r="E71" s="6" t="s">
        <v>434</v>
      </c>
      <c r="G71" t="str">
        <f>VLOOKUP(D71,data!$C$2:$U$103,5,FALSE)</f>
        <v>061 414 646</v>
      </c>
    </row>
    <row r="72" spans="1:7" x14ac:dyDescent="0.5">
      <c r="A72" s="5">
        <v>1850800312</v>
      </c>
      <c r="B72" s="6" t="s">
        <v>87</v>
      </c>
      <c r="C72" t="s">
        <v>347</v>
      </c>
      <c r="D72" t="s">
        <v>223</v>
      </c>
      <c r="E72" s="6" t="s">
        <v>434</v>
      </c>
      <c r="G72" t="str">
        <f>VLOOKUP(D72,data!$C$2:$U$103,5,FALSE)</f>
        <v>098​​ 6161 63</v>
      </c>
    </row>
    <row r="73" spans="1:7" x14ac:dyDescent="0.5">
      <c r="A73" s="5">
        <v>1850300085</v>
      </c>
      <c r="B73" s="6" t="s">
        <v>88</v>
      </c>
      <c r="C73" t="s">
        <v>348</v>
      </c>
      <c r="D73" t="s">
        <v>224</v>
      </c>
      <c r="E73" s="6" t="s">
        <v>434</v>
      </c>
      <c r="G73" t="str">
        <f>VLOOKUP(D73,data!$C$2:$U$103,5,FALSE)</f>
        <v>078 600 636</v>
      </c>
    </row>
    <row r="74" spans="1:7" x14ac:dyDescent="0.5">
      <c r="A74" s="5">
        <v>2871400116</v>
      </c>
      <c r="B74" s="6" t="s">
        <v>89</v>
      </c>
      <c r="C74" t="s">
        <v>349</v>
      </c>
      <c r="D74" t="s">
        <v>225</v>
      </c>
      <c r="E74" s="6" t="s">
        <v>435</v>
      </c>
      <c r="G74" t="str">
        <f>VLOOKUP(D74,data!$C$2:$U$103,5,FALSE)</f>
        <v>015 953 435</v>
      </c>
    </row>
    <row r="75" spans="1:7" x14ac:dyDescent="0.5">
      <c r="A75" s="5">
        <v>2900300321</v>
      </c>
      <c r="B75" s="6" t="s">
        <v>90</v>
      </c>
      <c r="C75" t="s">
        <v>350</v>
      </c>
      <c r="D75" t="s">
        <v>226</v>
      </c>
      <c r="E75" s="6" t="s">
        <v>435</v>
      </c>
      <c r="G75" t="str">
        <f>VLOOKUP(D75,data!$C$2:$U$103,5,FALSE)</f>
        <v>015 440 254</v>
      </c>
    </row>
    <row r="76" spans="1:7" x14ac:dyDescent="0.5">
      <c r="A76" s="5">
        <v>2870300008</v>
      </c>
      <c r="B76" s="6" t="s">
        <v>91</v>
      </c>
      <c r="C76" t="s">
        <v>351</v>
      </c>
      <c r="D76" t="s">
        <v>227</v>
      </c>
      <c r="E76" s="6" t="s">
        <v>435</v>
      </c>
      <c r="G76" t="str">
        <f>VLOOKUP(D76,data!$C$2:$U$103,5,FALSE)</f>
        <v>017 661 686</v>
      </c>
    </row>
    <row r="77" spans="1:7" x14ac:dyDescent="0.5">
      <c r="A77" s="5">
        <v>1901200130</v>
      </c>
      <c r="B77" s="6" t="s">
        <v>92</v>
      </c>
      <c r="C77" t="s">
        <v>352</v>
      </c>
      <c r="D77" t="s">
        <v>228</v>
      </c>
      <c r="E77" s="6" t="s">
        <v>434</v>
      </c>
      <c r="G77" t="str">
        <f>VLOOKUP(D77,data!$C$2:$U$103,5,FALSE)</f>
        <v>097 248 6868</v>
      </c>
    </row>
    <row r="78" spans="1:7" x14ac:dyDescent="0.5">
      <c r="A78" s="5">
        <v>2860300359</v>
      </c>
      <c r="B78" s="6" t="s">
        <v>93</v>
      </c>
      <c r="C78" t="s">
        <v>353</v>
      </c>
      <c r="D78" t="s">
        <v>229</v>
      </c>
      <c r="E78" s="6" t="s">
        <v>435</v>
      </c>
      <c r="G78" t="str">
        <f>VLOOKUP(D78,data!$C$2:$U$103,5,FALSE)</f>
        <v>092 833681</v>
      </c>
    </row>
    <row r="79" spans="1:7" x14ac:dyDescent="0.5">
      <c r="A79" s="5">
        <v>2680300175</v>
      </c>
      <c r="B79" s="6" t="s">
        <v>94</v>
      </c>
      <c r="C79" t="s">
        <v>354</v>
      </c>
      <c r="D79" t="s">
        <v>230</v>
      </c>
      <c r="E79" s="6" t="s">
        <v>435</v>
      </c>
      <c r="G79" t="str">
        <f>VLOOKUP(D79,data!$C$2:$U$103,5,FALSE)</f>
        <v>012 584 338</v>
      </c>
    </row>
    <row r="80" spans="1:7" x14ac:dyDescent="0.5">
      <c r="A80" s="5">
        <v>1690300388</v>
      </c>
      <c r="B80" s="6" t="s">
        <v>95</v>
      </c>
      <c r="C80" t="s">
        <v>355</v>
      </c>
      <c r="D80" t="s">
        <v>231</v>
      </c>
      <c r="E80" s="6" t="s">
        <v>434</v>
      </c>
      <c r="G80" t="str">
        <f>VLOOKUP(D80,data!$C$2:$U$103,5,FALSE)</f>
        <v>012 236 891</v>
      </c>
    </row>
    <row r="81" spans="1:7" x14ac:dyDescent="0.5">
      <c r="A81" s="5">
        <v>1690300442</v>
      </c>
      <c r="B81" s="6" t="s">
        <v>96</v>
      </c>
      <c r="C81" t="s">
        <v>356</v>
      </c>
      <c r="D81" t="s">
        <v>232</v>
      </c>
      <c r="E81" s="6" t="s">
        <v>434</v>
      </c>
      <c r="G81" t="str">
        <f>VLOOKUP(D81,data!$C$2:$U$103,5,FALSE)</f>
        <v>011 205 871</v>
      </c>
    </row>
    <row r="82" spans="1:7" x14ac:dyDescent="0.5">
      <c r="A82" s="5">
        <v>2800300061</v>
      </c>
      <c r="B82" s="6" t="s">
        <v>97</v>
      </c>
      <c r="C82" t="s">
        <v>357</v>
      </c>
      <c r="D82" t="s">
        <v>233</v>
      </c>
      <c r="E82" s="6" t="s">
        <v>435</v>
      </c>
      <c r="G82" t="str">
        <f>VLOOKUP(D82,data!$C$2:$U$103,5,FALSE)</f>
        <v>016 376 387</v>
      </c>
    </row>
    <row r="83" spans="1:7" x14ac:dyDescent="0.5">
      <c r="A83" s="5">
        <v>2700300301</v>
      </c>
      <c r="B83" s="6" t="s">
        <v>98</v>
      </c>
      <c r="C83" t="s">
        <v>358</v>
      </c>
      <c r="D83" t="s">
        <v>234</v>
      </c>
      <c r="E83" s="6" t="s">
        <v>435</v>
      </c>
      <c r="G83" t="str">
        <f>VLOOKUP(D83,data!$C$2:$U$103,5,FALSE)</f>
        <v>092 740​ ​682</v>
      </c>
    </row>
    <row r="84" spans="1:7" x14ac:dyDescent="0.5">
      <c r="A84" s="5">
        <v>1690300322</v>
      </c>
      <c r="B84" s="6" t="s">
        <v>99</v>
      </c>
      <c r="C84" t="s">
        <v>359</v>
      </c>
      <c r="D84" t="s">
        <v>235</v>
      </c>
      <c r="E84" s="6" t="s">
        <v>434</v>
      </c>
      <c r="G84" t="str">
        <f>VLOOKUP(D84,data!$C$2:$U$103,5,FALSE)</f>
        <v>096 627 8992</v>
      </c>
    </row>
    <row r="85" spans="1:7" x14ac:dyDescent="0.5">
      <c r="A85" s="5">
        <v>1730300451</v>
      </c>
      <c r="B85" s="6" t="s">
        <v>100</v>
      </c>
      <c r="C85" t="s">
        <v>360</v>
      </c>
      <c r="D85" t="s">
        <v>236</v>
      </c>
      <c r="E85" s="6" t="s">
        <v>434</v>
      </c>
      <c r="G85" t="str">
        <f>VLOOKUP(D85,data!$C$2:$U$103,5,FALSE)</f>
        <v>092 808 363</v>
      </c>
    </row>
    <row r="86" spans="1:7" x14ac:dyDescent="0.5">
      <c r="A86" s="5">
        <v>2780300027</v>
      </c>
      <c r="B86" s="6" t="s">
        <v>101</v>
      </c>
      <c r="C86" t="s">
        <v>361</v>
      </c>
      <c r="D86" t="s">
        <v>237</v>
      </c>
      <c r="E86" s="6" t="s">
        <v>435</v>
      </c>
      <c r="G86" t="str">
        <f>VLOOKUP(D86,data!$C$2:$U$103,5,FALSE)</f>
        <v>017 763 571</v>
      </c>
    </row>
    <row r="87" spans="1:7" x14ac:dyDescent="0.5">
      <c r="A87" s="5">
        <v>2810300025</v>
      </c>
      <c r="B87" s="6" t="s">
        <v>102</v>
      </c>
      <c r="C87" t="s">
        <v>362</v>
      </c>
      <c r="D87" t="s">
        <v>238</v>
      </c>
      <c r="E87" s="6" t="s">
        <v>435</v>
      </c>
      <c r="G87" t="str">
        <f>VLOOKUP(D87,data!$C$2:$U$103,5,FALSE)</f>
        <v>017 544 243</v>
      </c>
    </row>
    <row r="88" spans="1:7" x14ac:dyDescent="0.5">
      <c r="A88" s="5">
        <v>2830300078</v>
      </c>
      <c r="B88" s="6" t="s">
        <v>103</v>
      </c>
      <c r="C88" t="s">
        <v>363</v>
      </c>
      <c r="D88" t="s">
        <v>239</v>
      </c>
      <c r="E88" s="6" t="s">
        <v>435</v>
      </c>
      <c r="G88" t="str">
        <f>VLOOKUP(D88,data!$C$2:$U$103,5,FALSE)</f>
        <v>012 576 434</v>
      </c>
    </row>
    <row r="89" spans="1:7" x14ac:dyDescent="0.5">
      <c r="A89" s="5">
        <v>1870300100</v>
      </c>
      <c r="B89" s="6" t="s">
        <v>104</v>
      </c>
      <c r="C89" t="s">
        <v>364</v>
      </c>
      <c r="D89" t="s">
        <v>240</v>
      </c>
      <c r="E89" s="6" t="s">
        <v>434</v>
      </c>
      <c r="G89" t="str">
        <f>VLOOKUP(D89,data!$C$2:$U$103,5,FALSE)</f>
        <v>086 572 451</v>
      </c>
    </row>
    <row r="90" spans="1:7" x14ac:dyDescent="0.5">
      <c r="A90" s="5">
        <v>2870300157</v>
      </c>
      <c r="B90" s="6" t="s">
        <v>105</v>
      </c>
      <c r="C90" t="s">
        <v>365</v>
      </c>
      <c r="D90" t="s">
        <v>241</v>
      </c>
      <c r="E90" s="6" t="s">
        <v>435</v>
      </c>
      <c r="G90" t="str">
        <f>VLOOKUP(D90,data!$C$2:$U$103,5,FALSE)</f>
        <v>017 261463</v>
      </c>
    </row>
    <row r="91" spans="1:7" x14ac:dyDescent="0.5">
      <c r="A91" s="5">
        <v>2910300165</v>
      </c>
      <c r="B91" s="6" t="s">
        <v>106</v>
      </c>
      <c r="C91" t="s">
        <v>366</v>
      </c>
      <c r="D91" t="s">
        <v>242</v>
      </c>
      <c r="E91" s="6" t="s">
        <v>435</v>
      </c>
      <c r="G91" t="str">
        <f>VLOOKUP(D91,data!$C$2:$U$103,5,FALSE)</f>
        <v>012 481 018</v>
      </c>
    </row>
    <row r="92" spans="1:7" x14ac:dyDescent="0.5">
      <c r="A92" s="5">
        <v>1690300603</v>
      </c>
      <c r="B92" s="6" t="s">
        <v>107</v>
      </c>
      <c r="C92" t="s">
        <v>367</v>
      </c>
      <c r="D92" t="s">
        <v>243</v>
      </c>
      <c r="E92" s="6" t="s">
        <v>434</v>
      </c>
      <c r="G92" t="str">
        <f>VLOOKUP(D92,data!$C$2:$U$103,5,FALSE)</f>
        <v>017 225 545</v>
      </c>
    </row>
    <row r="93" spans="1:7" x14ac:dyDescent="0.5">
      <c r="A93" s="5">
        <v>2680300182</v>
      </c>
      <c r="B93" s="6" t="s">
        <v>108</v>
      </c>
      <c r="C93" t="s">
        <v>368</v>
      </c>
      <c r="D93" t="s">
        <v>244</v>
      </c>
      <c r="E93" s="6" t="s">
        <v>435</v>
      </c>
      <c r="G93" t="str">
        <f>VLOOKUP(D93,data!$C$2:$U$103,5,FALSE)</f>
        <v>087 797 776</v>
      </c>
    </row>
    <row r="94" spans="1:7" x14ac:dyDescent="0.5">
      <c r="A94" s="5">
        <v>1690300349</v>
      </c>
      <c r="B94" s="6" t="s">
        <v>109</v>
      </c>
      <c r="C94" t="s">
        <v>369</v>
      </c>
      <c r="D94" t="s">
        <v>245</v>
      </c>
      <c r="E94" s="6" t="s">
        <v>434</v>
      </c>
      <c r="G94" t="str">
        <f>VLOOKUP(D94,data!$C$2:$U$103,5,FALSE)</f>
        <v>011 760 236</v>
      </c>
    </row>
    <row r="95" spans="1:7" x14ac:dyDescent="0.5">
      <c r="A95" s="5">
        <v>2930300284</v>
      </c>
      <c r="B95" s="6" t="s">
        <v>110</v>
      </c>
      <c r="C95" t="s">
        <v>370</v>
      </c>
      <c r="D95" t="s">
        <v>246</v>
      </c>
      <c r="E95" s="6" t="s">
        <v>435</v>
      </c>
      <c r="G95" t="str">
        <f>VLOOKUP(D95,data!$C$2:$U$103,5,FALSE)</f>
        <v>010 988 740</v>
      </c>
    </row>
    <row r="96" spans="1:7" x14ac:dyDescent="0.5">
      <c r="A96" s="5">
        <v>1942000040</v>
      </c>
      <c r="B96" s="6" t="s">
        <v>111</v>
      </c>
      <c r="C96" t="s">
        <v>371</v>
      </c>
      <c r="D96" t="s">
        <v>247</v>
      </c>
      <c r="E96" s="6" t="s">
        <v>434</v>
      </c>
      <c r="G96" t="str">
        <f>VLOOKUP(D96,data!$C$2:$U$103,5,FALSE)</f>
        <v>070 840 703</v>
      </c>
    </row>
    <row r="97" spans="1:7" x14ac:dyDescent="0.5">
      <c r="A97" s="5">
        <v>1931000087</v>
      </c>
      <c r="B97" s="6" t="s">
        <v>112</v>
      </c>
      <c r="C97" t="s">
        <v>372</v>
      </c>
      <c r="D97" t="s">
        <v>248</v>
      </c>
      <c r="E97" s="6" t="s">
        <v>434</v>
      </c>
      <c r="G97" t="str">
        <f>VLOOKUP(D97,data!$C$2:$U$103,5,FALSE)</f>
        <v>015 612 512</v>
      </c>
    </row>
    <row r="98" spans="1:7" x14ac:dyDescent="0.5">
      <c r="A98" s="5">
        <v>1960300210</v>
      </c>
      <c r="B98" s="6" t="s">
        <v>113</v>
      </c>
      <c r="C98" t="s">
        <v>373</v>
      </c>
      <c r="D98" t="s">
        <v>249</v>
      </c>
      <c r="E98" s="6" t="s">
        <v>434</v>
      </c>
      <c r="G98" t="str">
        <f>VLOOKUP(D98,data!$C$2:$U$103,5,FALSE)</f>
        <v>016 549 414</v>
      </c>
    </row>
    <row r="99" spans="1:7" x14ac:dyDescent="0.5">
      <c r="A99" s="5">
        <v>1680300355</v>
      </c>
      <c r="B99" s="6" t="s">
        <v>114</v>
      </c>
      <c r="C99" t="s">
        <v>374</v>
      </c>
      <c r="D99" t="s">
        <v>250</v>
      </c>
      <c r="E99" s="6" t="s">
        <v>434</v>
      </c>
      <c r="G99" t="str">
        <f>VLOOKUP(D99,data!$C$2:$U$103,5,FALSE)</f>
        <v>012​ 752 553</v>
      </c>
    </row>
    <row r="100" spans="1:7" x14ac:dyDescent="0.5">
      <c r="A100" s="5">
        <v>2820300034</v>
      </c>
      <c r="B100" s="6" t="s">
        <v>115</v>
      </c>
      <c r="C100" t="s">
        <v>375</v>
      </c>
      <c r="D100" t="s">
        <v>251</v>
      </c>
      <c r="E100" s="6" t="s">
        <v>435</v>
      </c>
      <c r="G100" t="str">
        <f>VLOOKUP(D100,data!$C$2:$U$103,5,FALSE)</f>
        <v>012​ 492 550</v>
      </c>
    </row>
    <row r="101" spans="1:7" x14ac:dyDescent="0.5">
      <c r="A101" s="5">
        <v>2800300234</v>
      </c>
      <c r="B101" s="6" t="s">
        <v>116</v>
      </c>
      <c r="C101" t="s">
        <v>376</v>
      </c>
      <c r="D101" t="s">
        <v>252</v>
      </c>
      <c r="E101" s="6" t="s">
        <v>435</v>
      </c>
      <c r="G101" t="e">
        <f>VLOOKUP(D101,data!$C$2:$U$103,5,FALSE)</f>
        <v>#N/A</v>
      </c>
    </row>
    <row r="102" spans="1:7" x14ac:dyDescent="0.5">
      <c r="A102" s="5">
        <v>2000300183</v>
      </c>
      <c r="B102" s="6" t="s">
        <v>117</v>
      </c>
      <c r="C102" t="s">
        <v>377</v>
      </c>
      <c r="D102" t="s">
        <v>253</v>
      </c>
      <c r="E102" s="6" t="s">
        <v>435</v>
      </c>
      <c r="G102" t="str">
        <f>VLOOKUP(D102,data!$C$2:$U$103,5,FALSE)</f>
        <v>096​ 816 1466</v>
      </c>
    </row>
    <row r="103" spans="1:7" x14ac:dyDescent="0.5">
      <c r="A103" s="5">
        <v>1990300147</v>
      </c>
      <c r="B103" s="6" t="s">
        <v>118</v>
      </c>
      <c r="C103" t="s">
        <v>378</v>
      </c>
      <c r="D103" t="s">
        <v>254</v>
      </c>
      <c r="E103" s="6" t="s">
        <v>434</v>
      </c>
      <c r="G103" t="str">
        <f>VLOOKUP(D103,data!$C$2:$U$103,5,FALSE)</f>
        <v>088 ​913 0994</v>
      </c>
    </row>
    <row r="104" spans="1:7" x14ac:dyDescent="0.5">
      <c r="A104" s="5">
        <v>100001</v>
      </c>
      <c r="B104" s="6" t="s">
        <v>119</v>
      </c>
      <c r="C104" t="s">
        <v>379</v>
      </c>
      <c r="D104" t="s">
        <v>255</v>
      </c>
      <c r="E104" s="6" t="s">
        <v>434</v>
      </c>
      <c r="G104" t="e">
        <f>VLOOKUP(D104,data!$C$2:$U$103,5,FALSE)</f>
        <v>#N/A</v>
      </c>
    </row>
    <row r="105" spans="1:7" x14ac:dyDescent="0.5">
      <c r="A105" s="5">
        <v>1720300297</v>
      </c>
      <c r="B105" s="6" t="s">
        <v>120</v>
      </c>
      <c r="C105" t="s">
        <v>380</v>
      </c>
      <c r="D105" t="s">
        <v>256</v>
      </c>
      <c r="E105" s="6" t="s">
        <v>434</v>
      </c>
      <c r="G105" t="e">
        <f>VLOOKUP(D105,data!$C$2:$U$103,5,FALSE)</f>
        <v>#N/A</v>
      </c>
    </row>
    <row r="106" spans="1:7" x14ac:dyDescent="0.5">
      <c r="A106" s="5">
        <v>2740300117</v>
      </c>
      <c r="B106" s="6" t="s">
        <v>121</v>
      </c>
      <c r="C106" t="s">
        <v>381</v>
      </c>
      <c r="D106" t="s">
        <v>257</v>
      </c>
      <c r="E106" s="6" t="s">
        <v>435</v>
      </c>
      <c r="G106" t="e">
        <f>VLOOKUP(D106,data!$C$2:$U$103,5,FALSE)</f>
        <v>#N/A</v>
      </c>
    </row>
    <row r="107" spans="1:7" x14ac:dyDescent="0.5">
      <c r="A107" s="5">
        <v>2980300142</v>
      </c>
      <c r="B107" s="6" t="s">
        <v>122</v>
      </c>
      <c r="C107" t="s">
        <v>382</v>
      </c>
      <c r="D107" t="s">
        <v>258</v>
      </c>
      <c r="E107" s="6" t="s">
        <v>435</v>
      </c>
      <c r="G107" t="e">
        <f>VLOOKUP(D107,data!$C$2:$U$103,5,FALSE)</f>
        <v>#N/A</v>
      </c>
    </row>
    <row r="108" spans="1:7" x14ac:dyDescent="0.5">
      <c r="A108" s="5">
        <v>1750300287</v>
      </c>
      <c r="B108" s="6" t="s">
        <v>123</v>
      </c>
      <c r="C108" t="s">
        <v>383</v>
      </c>
      <c r="D108" t="s">
        <v>259</v>
      </c>
      <c r="E108" s="6" t="s">
        <v>434</v>
      </c>
      <c r="G108" t="e">
        <f>VLOOKUP(D108,data!$C$2:$U$103,5,FALSE)</f>
        <v>#N/A</v>
      </c>
    </row>
    <row r="109" spans="1:7" x14ac:dyDescent="0.5">
      <c r="A109" s="5">
        <v>2760300055</v>
      </c>
      <c r="B109" s="6" t="s">
        <v>124</v>
      </c>
      <c r="C109" t="s">
        <v>384</v>
      </c>
      <c r="D109" t="s">
        <v>260</v>
      </c>
      <c r="E109" s="6" t="s">
        <v>435</v>
      </c>
      <c r="G109" t="e">
        <f>VLOOKUP(D109,data!$C$2:$U$103,5,FALSE)</f>
        <v>#N/A</v>
      </c>
    </row>
    <row r="110" spans="1:7" x14ac:dyDescent="0.5">
      <c r="A110" s="5">
        <v>2780300025</v>
      </c>
      <c r="B110" s="6" t="s">
        <v>125</v>
      </c>
      <c r="C110" t="s">
        <v>385</v>
      </c>
      <c r="D110" t="s">
        <v>261</v>
      </c>
      <c r="E110" s="6" t="s">
        <v>435</v>
      </c>
      <c r="G110" t="e">
        <f>VLOOKUP(D110,data!$C$2:$U$103,5,FALSE)</f>
        <v>#N/A</v>
      </c>
    </row>
    <row r="111" spans="1:7" x14ac:dyDescent="0.5">
      <c r="A111" s="5">
        <v>2820300159</v>
      </c>
      <c r="B111" s="6" t="s">
        <v>126</v>
      </c>
      <c r="C111" t="s">
        <v>386</v>
      </c>
      <c r="D111" t="s">
        <v>262</v>
      </c>
      <c r="E111" s="6" t="s">
        <v>435</v>
      </c>
      <c r="G111" t="e">
        <f>VLOOKUP(D111,data!$C$2:$U$103,5,FALSE)</f>
        <v>#N/A</v>
      </c>
    </row>
    <row r="112" spans="1:7" x14ac:dyDescent="0.5">
      <c r="A112" s="5">
        <v>1850300039</v>
      </c>
      <c r="B112" s="6" t="s">
        <v>127</v>
      </c>
      <c r="C112" t="s">
        <v>387</v>
      </c>
      <c r="D112" t="s">
        <v>263</v>
      </c>
      <c r="E112" s="6" t="s">
        <v>434</v>
      </c>
      <c r="G112" t="e">
        <f>VLOOKUP(D112,data!$C$2:$U$103,5,FALSE)</f>
        <v>#N/A</v>
      </c>
    </row>
    <row r="113" spans="1:7" x14ac:dyDescent="0.5">
      <c r="A113" s="5">
        <v>2860300021</v>
      </c>
      <c r="B113" s="6" t="s">
        <v>128</v>
      </c>
      <c r="C113" t="s">
        <v>388</v>
      </c>
      <c r="D113" t="s">
        <v>264</v>
      </c>
      <c r="E113" s="6" t="s">
        <v>435</v>
      </c>
      <c r="G113" t="e">
        <f>VLOOKUP(D113,data!$C$2:$U$103,5,FALSE)</f>
        <v>#N/A</v>
      </c>
    </row>
    <row r="114" spans="1:7" x14ac:dyDescent="0.5">
      <c r="A114" s="5">
        <v>1870300055</v>
      </c>
      <c r="B114" s="6" t="s">
        <v>129</v>
      </c>
      <c r="C114" t="s">
        <v>389</v>
      </c>
      <c r="D114" t="s">
        <v>265</v>
      </c>
      <c r="E114" s="6" t="s">
        <v>434</v>
      </c>
      <c r="G114" t="e">
        <f>VLOOKUP(D114,data!$C$2:$U$103,5,FALSE)</f>
        <v>#N/A</v>
      </c>
    </row>
    <row r="115" spans="1:7" x14ac:dyDescent="0.5">
      <c r="A115" s="5">
        <v>1680300329</v>
      </c>
      <c r="B115" s="6" t="s">
        <v>130</v>
      </c>
      <c r="C115" t="s">
        <v>390</v>
      </c>
      <c r="D115" t="s">
        <v>266</v>
      </c>
      <c r="E115" s="6" t="s">
        <v>434</v>
      </c>
      <c r="G115" t="e">
        <f>VLOOKUP(D115,data!$C$2:$U$103,5,FALSE)</f>
        <v>#N/A</v>
      </c>
    </row>
    <row r="116" spans="1:7" x14ac:dyDescent="0.5">
      <c r="A116" s="5">
        <v>2910300192</v>
      </c>
      <c r="B116" s="6" t="s">
        <v>131</v>
      </c>
      <c r="C116" t="s">
        <v>391</v>
      </c>
      <c r="D116" t="s">
        <v>267</v>
      </c>
      <c r="E116" s="6" t="s">
        <v>435</v>
      </c>
      <c r="G116" t="e">
        <f>VLOOKUP(D116,data!$C$2:$U$103,5,FALSE)</f>
        <v>#N/A</v>
      </c>
    </row>
    <row r="117" spans="1:7" x14ac:dyDescent="0.5">
      <c r="A117" s="5">
        <v>2940300006</v>
      </c>
      <c r="B117" s="6" t="s">
        <v>132</v>
      </c>
      <c r="C117" t="s">
        <v>392</v>
      </c>
      <c r="D117" t="s">
        <v>268</v>
      </c>
      <c r="E117" s="6" t="s">
        <v>435</v>
      </c>
      <c r="G117" t="e">
        <f>VLOOKUP(D117,data!$C$2:$U$103,5,FALSE)</f>
        <v>#N/A</v>
      </c>
    </row>
    <row r="118" spans="1:7" x14ac:dyDescent="0.5">
      <c r="A118" s="5">
        <v>1930300052</v>
      </c>
      <c r="B118" s="6" t="s">
        <v>133</v>
      </c>
      <c r="C118" t="s">
        <v>393</v>
      </c>
      <c r="D118" t="s">
        <v>269</v>
      </c>
      <c r="E118" s="6" t="s">
        <v>434</v>
      </c>
      <c r="G118" t="e">
        <f>VLOOKUP(D118,data!$C$2:$U$103,5,FALSE)</f>
        <v>#N/A</v>
      </c>
    </row>
    <row r="119" spans="1:7" x14ac:dyDescent="0.5">
      <c r="A119" s="5">
        <v>2981400029</v>
      </c>
      <c r="B119" s="6" t="s">
        <v>134</v>
      </c>
      <c r="C119" t="s">
        <v>394</v>
      </c>
      <c r="D119" t="s">
        <v>270</v>
      </c>
      <c r="E119" s="6" t="s">
        <v>435</v>
      </c>
      <c r="G119" t="e">
        <f>VLOOKUP(D119,data!$C$2:$U$103,5,FALSE)</f>
        <v>#N/A</v>
      </c>
    </row>
    <row r="120" spans="1:7" x14ac:dyDescent="0.5">
      <c r="A120" s="5">
        <v>2960300101</v>
      </c>
      <c r="B120" s="6" t="s">
        <v>135</v>
      </c>
      <c r="C120" t="s">
        <v>395</v>
      </c>
      <c r="D120" t="s">
        <v>271</v>
      </c>
      <c r="E120" s="6" t="s">
        <v>435</v>
      </c>
      <c r="G120" t="e">
        <f>VLOOKUP(D120,data!$C$2:$U$103,5,FALSE)</f>
        <v>#N/A</v>
      </c>
    </row>
    <row r="121" spans="1:7" x14ac:dyDescent="0.5">
      <c r="A121" s="5">
        <v>1980300018</v>
      </c>
      <c r="B121" s="6" t="s">
        <v>136</v>
      </c>
      <c r="C121" t="s">
        <v>396</v>
      </c>
      <c r="D121" t="s">
        <v>272</v>
      </c>
      <c r="E121" s="6" t="s">
        <v>434</v>
      </c>
      <c r="G121" t="e">
        <f>VLOOKUP(D121,data!$C$2:$U$103,5,FALSE)</f>
        <v>#N/A</v>
      </c>
    </row>
    <row r="122" spans="1:7" x14ac:dyDescent="0.5">
      <c r="A122" s="5">
        <v>2980300044</v>
      </c>
      <c r="B122" s="6" t="s">
        <v>137</v>
      </c>
      <c r="C122" t="s">
        <v>397</v>
      </c>
      <c r="D122" t="s">
        <v>273</v>
      </c>
      <c r="E122" s="6" t="s">
        <v>435</v>
      </c>
      <c r="G122" t="e">
        <f>VLOOKUP(D122,data!$C$2:$U$103,5,FALSE)</f>
        <v>#N/A</v>
      </c>
    </row>
    <row r="123" spans="1:7" x14ac:dyDescent="0.5">
      <c r="A123" s="5">
        <v>1960300052</v>
      </c>
      <c r="B123" s="6" t="s">
        <v>138</v>
      </c>
      <c r="C123" t="s">
        <v>398</v>
      </c>
      <c r="D123" t="s">
        <v>274</v>
      </c>
      <c r="E123" s="6" t="s">
        <v>434</v>
      </c>
      <c r="G123" t="e">
        <f>VLOOKUP(D123,data!$C$2:$U$103,5,FALSE)</f>
        <v>#N/A</v>
      </c>
    </row>
    <row r="124" spans="1:7" x14ac:dyDescent="0.5">
      <c r="A124" s="5">
        <v>2960300120</v>
      </c>
      <c r="B124" s="6" t="s">
        <v>139</v>
      </c>
      <c r="C124" t="s">
        <v>399</v>
      </c>
      <c r="D124" t="s">
        <v>275</v>
      </c>
      <c r="E124" s="6" t="s">
        <v>435</v>
      </c>
      <c r="G124" t="e">
        <f>VLOOKUP(D124,data!$C$2:$U$103,5,FALSE)</f>
        <v>#N/A</v>
      </c>
    </row>
    <row r="125" spans="1:7" x14ac:dyDescent="0.5">
      <c r="A125" s="5">
        <v>100002</v>
      </c>
      <c r="B125" s="6" t="s">
        <v>140</v>
      </c>
      <c r="C125" t="s">
        <v>400</v>
      </c>
      <c r="D125" t="s">
        <v>276</v>
      </c>
      <c r="E125" s="6" t="s">
        <v>434</v>
      </c>
      <c r="G125" t="e">
        <f>VLOOKUP(D125,data!$C$2:$U$103,5,FALSE)</f>
        <v>#N/A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1 A1:C1 F6:F45 H5:L5 F3:F4 F2 H2:L2 H6:L45 H3:L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03"/>
  <sheetViews>
    <sheetView topLeftCell="A22" workbookViewId="0">
      <selection activeCell="H37" sqref="H37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773</v>
      </c>
      <c r="B1" s="11" t="s">
        <v>774</v>
      </c>
      <c r="C1" s="11" t="s">
        <v>775</v>
      </c>
      <c r="D1" s="11" t="s">
        <v>776</v>
      </c>
      <c r="E1" s="12" t="s">
        <v>787</v>
      </c>
      <c r="F1" s="11" t="s">
        <v>777</v>
      </c>
      <c r="G1" s="14" t="s">
        <v>778</v>
      </c>
      <c r="H1" s="13" t="s">
        <v>786</v>
      </c>
      <c r="I1" s="11" t="s">
        <v>779</v>
      </c>
      <c r="J1" s="12" t="s">
        <v>788</v>
      </c>
      <c r="K1" s="11" t="s">
        <v>789</v>
      </c>
      <c r="L1" s="11" t="s">
        <v>780</v>
      </c>
      <c r="N1" s="11" t="s">
        <v>781</v>
      </c>
      <c r="P1" s="11" t="s">
        <v>782</v>
      </c>
      <c r="S1" s="11" t="s">
        <v>783</v>
      </c>
      <c r="T1" s="12" t="s">
        <v>784</v>
      </c>
      <c r="U1" s="11" t="s">
        <v>785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790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772</v>
      </c>
      <c r="D15" s="7" t="s">
        <v>472</v>
      </c>
      <c r="E15" s="8">
        <v>29293</v>
      </c>
      <c r="F15" s="7">
        <v>2800300234</v>
      </c>
      <c r="G15" s="15" t="s">
        <v>791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792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793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794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795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797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796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798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799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800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801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808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802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803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804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805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806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807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2026-05-21T13:29:56Z</dcterms:modified>
</cp:coreProperties>
</file>